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immy.hou/Desktop/6. BD/"/>
    </mc:Choice>
  </mc:AlternateContent>
  <xr:revisionPtr revIDLastSave="0" documentId="13_ncr:1_{8F729E7B-1705-9549-8CE7-47C8B8EF812A}" xr6:coauthVersionLast="47" xr6:coauthVersionMax="47" xr10:uidLastSave="{00000000-0000-0000-0000-000000000000}"/>
  <bookViews>
    <workbookView xWindow="0" yWindow="760" windowWidth="29400" windowHeight="16520" activeTab="1" xr2:uid="{00000000-000D-0000-FFFF-FFFF00000000}"/>
  </bookViews>
  <sheets>
    <sheet name="RawData" sheetId="1" r:id="rId1"/>
    <sheet name="Bank Rankings" sheetId="2" r:id="rId2"/>
    <sheet name="Key Banks Analysis" sheetId="3" r:id="rId3"/>
    <sheet name="Partnership Matrix" sheetId="4" r:id="rId4"/>
  </sheets>
  <definedNames>
    <definedName name="_xlnm._FilterDatabase" localSheetId="0" hidden="1">RawData!$A$1:$F$451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E4" i="2" s="1"/>
  <c r="B29" i="3"/>
  <c r="B28" i="3"/>
  <c r="B17" i="3"/>
  <c r="B16" i="3"/>
  <c r="B5" i="3"/>
  <c r="B4" i="3"/>
  <c r="C59" i="2"/>
  <c r="D59" i="2" s="1"/>
  <c r="B59" i="2"/>
  <c r="E59" i="2" s="1"/>
  <c r="C58" i="2"/>
  <c r="B58" i="2"/>
  <c r="C57" i="2"/>
  <c r="B57" i="2"/>
  <c r="E57" i="2" s="1"/>
  <c r="C56" i="2"/>
  <c r="B56" i="2"/>
  <c r="C55" i="2"/>
  <c r="B55" i="2"/>
  <c r="E55" i="2" s="1"/>
  <c r="C54" i="2"/>
  <c r="D54" i="2" s="1"/>
  <c r="B54" i="2"/>
  <c r="E54" i="2" s="1"/>
  <c r="C53" i="2"/>
  <c r="B53" i="2"/>
  <c r="C52" i="2"/>
  <c r="B52" i="2"/>
  <c r="E52" i="2" s="1"/>
  <c r="C51" i="2"/>
  <c r="B51" i="2"/>
  <c r="C50" i="2"/>
  <c r="B50" i="2"/>
  <c r="E50" i="2" s="1"/>
  <c r="C49" i="2"/>
  <c r="B49" i="2"/>
  <c r="E49" i="2" s="1"/>
  <c r="C48" i="2"/>
  <c r="B48" i="2"/>
  <c r="E48" i="2" s="1"/>
  <c r="C47" i="2"/>
  <c r="D47" i="2" s="1"/>
  <c r="B47" i="2"/>
  <c r="E47" i="2" s="1"/>
  <c r="C46" i="2"/>
  <c r="B46" i="2"/>
  <c r="C45" i="2"/>
  <c r="B45" i="2"/>
  <c r="E45" i="2" s="1"/>
  <c r="C44" i="2"/>
  <c r="B44" i="2"/>
  <c r="E44" i="2" s="1"/>
  <c r="C43" i="2"/>
  <c r="B43" i="2"/>
  <c r="C42" i="2"/>
  <c r="B42" i="2"/>
  <c r="E42" i="2" s="1"/>
  <c r="C41" i="2"/>
  <c r="B41" i="2"/>
  <c r="C40" i="2"/>
  <c r="B40" i="2"/>
  <c r="E40" i="2" s="1"/>
  <c r="C39" i="2"/>
  <c r="B39" i="2"/>
  <c r="E39" i="2" s="1"/>
  <c r="C38" i="2"/>
  <c r="B38" i="2"/>
  <c r="E38" i="2" s="1"/>
  <c r="C37" i="2"/>
  <c r="B37" i="2"/>
  <c r="E37" i="2" s="1"/>
  <c r="C36" i="2"/>
  <c r="B36" i="2"/>
  <c r="C35" i="2"/>
  <c r="B35" i="2"/>
  <c r="E35" i="2" s="1"/>
  <c r="C34" i="2"/>
  <c r="D34" i="2" s="1"/>
  <c r="B34" i="2"/>
  <c r="E34" i="2" s="1"/>
  <c r="C33" i="2"/>
  <c r="B33" i="2"/>
  <c r="C32" i="2"/>
  <c r="B32" i="2"/>
  <c r="E32" i="2" s="1"/>
  <c r="C31" i="2"/>
  <c r="B31" i="2"/>
  <c r="E31" i="2" s="1"/>
  <c r="C30" i="2"/>
  <c r="B30" i="2"/>
  <c r="E30" i="2" s="1"/>
  <c r="C29" i="2"/>
  <c r="B29" i="2"/>
  <c r="E29" i="2" s="1"/>
  <c r="C28" i="2"/>
  <c r="B28" i="2"/>
  <c r="E28" i="2" s="1"/>
  <c r="C27" i="2"/>
  <c r="B27" i="2"/>
  <c r="E27" i="2" s="1"/>
  <c r="C26" i="2"/>
  <c r="B26" i="2"/>
  <c r="C25" i="2"/>
  <c r="B25" i="2"/>
  <c r="E25" i="2" s="1"/>
  <c r="C24" i="2"/>
  <c r="B24" i="2"/>
  <c r="E24" i="2" s="1"/>
  <c r="C23" i="2"/>
  <c r="B23" i="2"/>
  <c r="C22" i="2"/>
  <c r="D22" i="2" s="1"/>
  <c r="B22" i="2"/>
  <c r="E22" i="2" s="1"/>
  <c r="C21" i="2"/>
  <c r="B21" i="2"/>
  <c r="C20" i="2"/>
  <c r="B20" i="2"/>
  <c r="E20" i="2" s="1"/>
  <c r="C19" i="2"/>
  <c r="B19" i="2"/>
  <c r="E19" i="2" s="1"/>
  <c r="C18" i="2"/>
  <c r="B18" i="2"/>
  <c r="E18" i="2" s="1"/>
  <c r="C17" i="2"/>
  <c r="B17" i="2"/>
  <c r="E17" i="2" s="1"/>
  <c r="C16" i="2"/>
  <c r="B16" i="2"/>
  <c r="C15" i="2"/>
  <c r="D15" i="2" s="1"/>
  <c r="B15" i="2"/>
  <c r="E15" i="2" s="1"/>
  <c r="C14" i="2"/>
  <c r="B14" i="2"/>
  <c r="E14" i="2" s="1"/>
  <c r="C13" i="2"/>
  <c r="B13" i="2"/>
  <c r="C12" i="2"/>
  <c r="B12" i="2"/>
  <c r="E12" i="2" s="1"/>
  <c r="C11" i="2"/>
  <c r="B11" i="2"/>
  <c r="E11" i="2" s="1"/>
  <c r="C10" i="2"/>
  <c r="B10" i="2"/>
  <c r="E10" i="2" s="1"/>
  <c r="C9" i="2"/>
  <c r="B9" i="2"/>
  <c r="E9" i="2" s="1"/>
  <c r="C8" i="2"/>
  <c r="B8" i="2"/>
  <c r="E8" i="2" s="1"/>
  <c r="C7" i="2"/>
  <c r="D7" i="2" s="1"/>
  <c r="B7" i="2"/>
  <c r="E7" i="2" s="1"/>
  <c r="C6" i="2"/>
  <c r="B6" i="2"/>
  <c r="C5" i="2"/>
  <c r="D5" i="2" s="1"/>
  <c r="B5" i="2"/>
  <c r="E5" i="2" s="1"/>
  <c r="C4" i="2"/>
  <c r="C3" i="2"/>
  <c r="B3" i="2"/>
  <c r="E3" i="2" s="1"/>
  <c r="C2" i="2"/>
  <c r="B2" i="2"/>
  <c r="D55" i="2" l="1"/>
  <c r="D57" i="2"/>
  <c r="D43" i="2"/>
  <c r="D53" i="2"/>
  <c r="D21" i="2"/>
  <c r="D44" i="2"/>
  <c r="D12" i="2"/>
  <c r="D13" i="2"/>
  <c r="D27" i="2"/>
  <c r="D24" i="2"/>
  <c r="D33" i="2"/>
  <c r="D37" i="2"/>
  <c r="D32" i="2"/>
  <c r="D41" i="2"/>
  <c r="E41" i="2"/>
  <c r="D17" i="2"/>
  <c r="D42" i="2"/>
  <c r="D51" i="2"/>
  <c r="D11" i="2"/>
  <c r="E21" i="2"/>
  <c r="D31" i="2"/>
  <c r="E51" i="2"/>
  <c r="D14" i="2"/>
  <c r="D23" i="2"/>
  <c r="D52" i="2"/>
  <c r="D25" i="2"/>
  <c r="D35" i="2"/>
  <c r="D45" i="2"/>
  <c r="D6" i="2"/>
  <c r="D9" i="2"/>
  <c r="D16" i="2"/>
  <c r="D19" i="2"/>
  <c r="D26" i="2"/>
  <c r="D29" i="2"/>
  <c r="D36" i="2"/>
  <c r="D39" i="2"/>
  <c r="D46" i="2"/>
  <c r="D49" i="2"/>
  <c r="D56" i="2"/>
  <c r="D3" i="2"/>
  <c r="E6" i="2"/>
  <c r="E16" i="2"/>
  <c r="E26" i="2"/>
  <c r="E36" i="2"/>
  <c r="E46" i="2"/>
  <c r="E56" i="2"/>
  <c r="D10" i="2"/>
  <c r="E13" i="2"/>
  <c r="D20" i="2"/>
  <c r="E23" i="2"/>
  <c r="D30" i="2"/>
  <c r="E33" i="2"/>
  <c r="D40" i="2"/>
  <c r="E43" i="2"/>
  <c r="D50" i="2"/>
  <c r="E53" i="2"/>
  <c r="D2" i="2"/>
  <c r="E2" i="2"/>
  <c r="D4" i="2"/>
  <c r="D8" i="2"/>
  <c r="D18" i="2"/>
  <c r="D28" i="2"/>
  <c r="D38" i="2"/>
  <c r="D48" i="2"/>
  <c r="D58" i="2"/>
  <c r="E58" i="2"/>
</calcChain>
</file>

<file path=xl/sharedStrings.xml><?xml version="1.0" encoding="utf-8"?>
<sst xmlns="http://schemas.openxmlformats.org/spreadsheetml/2006/main" count="2859" uniqueCount="608">
  <si>
    <t>Company</t>
  </si>
  <si>
    <t>Bank</t>
  </si>
  <si>
    <t>Role</t>
  </si>
  <si>
    <t>Source</t>
  </si>
  <si>
    <t>Document</t>
  </si>
  <si>
    <t>Appointment</t>
  </si>
  <si>
    <t>AutoAI (Nanjing) Technology Co., Ltd.</t>
  </si>
  <si>
    <t>CLSA Limited</t>
  </si>
  <si>
    <t>Sponsor-Overall Coordinator</t>
  </si>
  <si>
    <t>https://www1.hkexnews.hk/app/sehk/2025/107497/documents/sehk25071000873.pdf</t>
  </si>
  <si>
    <t>OC Announcement - 10/07/2025</t>
  </si>
  <si>
    <t>27 June 2025</t>
  </si>
  <si>
    <t>CMB International Capital Limited</t>
  </si>
  <si>
    <t>Overall Coordinator</t>
  </si>
  <si>
    <t>10 July 2025</t>
  </si>
  <si>
    <t>SBI China Capital Financial Services Limited</t>
  </si>
  <si>
    <t>Qingdao Gon Technology Co., Ltd.</t>
  </si>
  <si>
    <t>China Merchants Securities (HK) Co., Limited</t>
  </si>
  <si>
    <t>https://www1.hkexnews.hk/app/sehk/2025/107485/documents/sehk25071000925.pdf</t>
  </si>
  <si>
    <t>26 June 2025</t>
  </si>
  <si>
    <t>China International Capital Corporation Hong Kong Securities Limited</t>
  </si>
  <si>
    <t>Intsig Information Co., Ltd.</t>
  </si>
  <si>
    <t>https://www1.hkexnews.hk/app/sehk/2025/107479/documents/sehk25070900940.pdf</t>
  </si>
  <si>
    <t>OC Announcement - 09/07/2025</t>
  </si>
  <si>
    <t>9 July 2025</t>
  </si>
  <si>
    <t>Shanghai Longcheer Technology Co., Ltd.</t>
  </si>
  <si>
    <t>Citigroup Global Markets Asia Limited</t>
  </si>
  <si>
    <t>https://www1.hkexnews.hk/app/sehk/2025/107505/documents/sehk25070900720.pdf</t>
  </si>
  <si>
    <t>Haitong International Securities Company Limited</t>
  </si>
  <si>
    <t>Guotai Junan Securities (Hong Kong) Limited</t>
  </si>
  <si>
    <t>Huatai Financial Holdings (Hong Kong) Limited</t>
  </si>
  <si>
    <t>Shanghai Sunmi Technology Co., Ltd.</t>
  </si>
  <si>
    <t>Deutsche Bank AG, Hong Kong Branch</t>
  </si>
  <si>
    <t>https://www1.hkexnews.hk/app/sehk/2025/107476/documents/sehk25070900840.pdf</t>
  </si>
  <si>
    <t>25 June 2025</t>
  </si>
  <si>
    <t>ABCI Capital Limited</t>
  </si>
  <si>
    <t>Viewtrix Technology Co., Ltd.</t>
  </si>
  <si>
    <t>https://www1.hkexnews.hk/app/sehk/2025/107480/documents/sehk25070900900.pdf</t>
  </si>
  <si>
    <t>GF Securities (Hong Kong) Brokerage Limited</t>
  </si>
  <si>
    <t>EACON Group Co., Ltd</t>
  </si>
  <si>
    <t>https://www1.hkexnews.hk/app/sehk/2025/107473/documents/sehk25070801179.pdf</t>
  </si>
  <si>
    <t>OC Announcement - 08/07/2025</t>
  </si>
  <si>
    <t>8 July 2025</t>
  </si>
  <si>
    <t>Macquarie Capital Limited</t>
  </si>
  <si>
    <t>MegaRobo Technologies Limited</t>
  </si>
  <si>
    <t>https://www1.hkexnews.hk/app/sehk/2025/107477/documents/sehk25070800006.pdf</t>
  </si>
  <si>
    <t>7 July 2025</t>
  </si>
  <si>
    <t>BOCI Asia Limited</t>
  </si>
  <si>
    <t>Morgan Stanley Asia Limited</t>
  </si>
  <si>
    <t>Deutsche Bank AG</t>
  </si>
  <si>
    <t>CCB International Capital Limited</t>
  </si>
  <si>
    <t>Zhejiang Galaxis Technology Group Co., Ltd.</t>
  </si>
  <si>
    <t>https://www1.hkexnews.hk/app/sehk/2025/107475/documents/sehk25070800286.pdf</t>
  </si>
  <si>
    <t>LXJ International Holdings Limited</t>
  </si>
  <si>
    <t>https://www1.hkexnews.hk/app/sehk/2025/107527/documents/sehk25070701743.pdf</t>
  </si>
  <si>
    <t>OC Announcement - 07/07/2025</t>
  </si>
  <si>
    <t>Guoyuan Securities Brokerage (Hong Kong) Limited</t>
  </si>
  <si>
    <t>Shenzhen Senior Technology Material Co., Ltd.</t>
  </si>
  <si>
    <t>China Securities (International) Corporate Finance Company Limited</t>
  </si>
  <si>
    <t>https://www1.hkexnews.hk/app/sehk/2025/107526/documents/sehk25070701489.pdf</t>
  </si>
  <si>
    <t>Standard Robots (Wuxi) Co., Ltd.</t>
  </si>
  <si>
    <t>Joint Sponsor-Overall Coordinator</t>
  </si>
  <si>
    <t>https://www1.hkexnews.hk/app/sehk/2025/107470/documents/sehk25070701513.pdf</t>
  </si>
  <si>
    <t>23 June 2025</t>
  </si>
  <si>
    <t>Weichai Lovol Intelligent Agricultural Technology Co., Ltd.</t>
  </si>
  <si>
    <t>Sole Sponsor-Overall Coordinator</t>
  </si>
  <si>
    <t>https://www1.hkexnews.hk/app/sehk/2025/107465/documents/sehk25070401319.pdf</t>
  </si>
  <si>
    <t>OC Announcement - 04/07/2025</t>
  </si>
  <si>
    <t>20 June 2025</t>
  </si>
  <si>
    <t>4 July 2025</t>
  </si>
  <si>
    <t>DBS Asia Capital Limited</t>
  </si>
  <si>
    <t>Zhongtai International Securities Limited</t>
  </si>
  <si>
    <t>MeiG Smart Technology Co., Ltd.</t>
  </si>
  <si>
    <t>https://www1.hkexnews.hk/app/sehk/2025/107455/documents/sehk25070300016.pdf</t>
  </si>
  <si>
    <t>OC Announcement - 03/07/2025</t>
  </si>
  <si>
    <t>3 July 2025</t>
  </si>
  <si>
    <t>BNP Paribas Securities (Asia) Limited</t>
  </si>
  <si>
    <t>Shenzhen Cheng-Tech Co., Ltd.</t>
  </si>
  <si>
    <t>https://www1.hkexnews.hk/app/sehk/2025/107468/documents/sehk25070302264.pdf</t>
  </si>
  <si>
    <t>Guosen Securities (HK) Capital Company Limited</t>
  </si>
  <si>
    <t>WeiMai Inc.</t>
  </si>
  <si>
    <t>https://www1.hkexnews.hk/app/sehk/2025/107488/documents/sehk25062700428.pdf</t>
  </si>
  <si>
    <t>Guangzhou Shiyuan Electronic Technology Company Limited</t>
  </si>
  <si>
    <t>https://www1.hkexnews.hk/app/sehk/2025/107451/documents/sehk25070202119.pdf</t>
  </si>
  <si>
    <t>OC Announcement - 02/07/2025</t>
  </si>
  <si>
    <t>2 July 2025</t>
  </si>
  <si>
    <t>1 July 2025</t>
  </si>
  <si>
    <t>Micro Connect International Finance Company Limited</t>
  </si>
  <si>
    <t>The Hongkong and Shanghai Banking Corporation Limited</t>
  </si>
  <si>
    <t>https://www1.hkexnews.hk/app/sehk/2025/107459/documents/sehk25070203652.pdf</t>
  </si>
  <si>
    <t>18 June 2025</t>
  </si>
  <si>
    <t>Shanghai Banking Corporation Limited</t>
  </si>
  <si>
    <t>Shenzhen Zhaowei Machinery &amp; Electronics Co., Ltd.</t>
  </si>
  <si>
    <t>https://www1.hkexnews.hk/app/sehk/2025/107456/documents/sehk25070204098.pdf</t>
  </si>
  <si>
    <t>Yusys Technologies Co., Ltd.</t>
  </si>
  <si>
    <t>China Galaxy International Securities (Hong Kong) Co., Limited</t>
  </si>
  <si>
    <t>https://www1.hkexnews.hk/app/sehk/2025/107460/documents/sehk25070204086.pdf</t>
  </si>
  <si>
    <t>Nations Technologies Inc.</t>
  </si>
  <si>
    <t>https://www1.hkexnews.hk/app/sehk/2025/107482/documents/sehk25070100063.pdf</t>
  </si>
  <si>
    <t>OC Announcement - 01/07/2025</t>
  </si>
  <si>
    <t>BOCOM International Securities Limited</t>
  </si>
  <si>
    <t>Beijing Tong Ren Tang Healthcare Investment Co., Ltd.</t>
  </si>
  <si>
    <t>https://www1.hkexnews.hk/app/sehk/2025/107518/documents/sehk25063003705.pdf</t>
  </si>
  <si>
    <t>OC Announcement - 30/06/2025</t>
  </si>
  <si>
    <t>30 June 2025</t>
  </si>
  <si>
    <t>EVE Energy Co., Ltd.</t>
  </si>
  <si>
    <t>https://www1.hkexnews.hk/app/sehk/2025/107513/documents/sehk25063000794.pdf</t>
  </si>
  <si>
    <t>Megatronix Inc.</t>
  </si>
  <si>
    <t>https://www1.hkexnews.hk/app/sehk/2025/107514/documents/sehk25063001355.pdf</t>
  </si>
  <si>
    <t>Puxiang Healthcare Holding Limited</t>
  </si>
  <si>
    <t>Shenwan Hongyuan Securities (H.K.) Limited</t>
  </si>
  <si>
    <t>https://www1.hkexnews.hk/app/sehk/2025/107511/documents/sehk25063000294.pdf</t>
  </si>
  <si>
    <t>Reconova Technologies Co., Ltd.</t>
  </si>
  <si>
    <t>https://www1.hkexnews.hk/app/sehk/2025/107520/documents/sehk25063004617.pdf</t>
  </si>
  <si>
    <t>Robotphoenix Intelligent Technology Co., Ltd.</t>
  </si>
  <si>
    <t>https://www1.hkexnews.hk/app/sehk/2025/107517/documents/sehk25063003567.pdf</t>
  </si>
  <si>
    <t>Shandong Linglong Tyre Co., Ltd.</t>
  </si>
  <si>
    <t>https://www1.hkexnews.hk/app/sehk/2025/107519/documents/sehk25063004397.pdf</t>
  </si>
  <si>
    <t>Shanghai MediTrust Health Technology Group Co., Ltd.</t>
  </si>
  <si>
    <t>https://www1.hkexnews.hk/app/sehk/2025/107512/documents/sehk25063000704.pdf</t>
  </si>
  <si>
    <t>Shenzhen Woer Heat-Shrinkable Material Co., Ltd.</t>
  </si>
  <si>
    <t>https://www1.hkexnews.hk/app/sehk/2025/107449/documents/sehk25063004405.pdf</t>
  </si>
  <si>
    <t>16 June 2025</t>
  </si>
  <si>
    <t>Shanxi Securities International Limited</t>
  </si>
  <si>
    <t>Silicon Magic Semiconductor Technology (Hangzhou) Co., Ltd.</t>
  </si>
  <si>
    <t>https://www1.hkexnews.hk/app/sehk/2025/107516/documents/sehk25063003273.pdf</t>
  </si>
  <si>
    <t>Yangtuo Technology Inc.</t>
  </si>
  <si>
    <t>https://www1.hkexnews.hk/app/sehk/2025/107510/documents/sehk25063000182.pdf</t>
  </si>
  <si>
    <t>Zijin Gold International Company Limited</t>
  </si>
  <si>
    <t>https://www1.hkexnews.hk/app/sehk/2025/107515/documents/sehk25063004285.pdf</t>
  </si>
  <si>
    <t>BlissBio Inc.</t>
  </si>
  <si>
    <t>https://www1.hkexnews.hk/app/sehk/2025/107507/documents/sehk25062900224.pdf</t>
  </si>
  <si>
    <t>OC Announcement - 29/06/2025</t>
  </si>
  <si>
    <t>29 June 2025</t>
  </si>
  <si>
    <t>Hangzhou Diagens Biotechnology Co., Ltd.</t>
  </si>
  <si>
    <t>https://www1.hkexnews.hk/app/sehk/2025/107506/documents/sehk25062900128.pdf</t>
  </si>
  <si>
    <t>Shanghai Jin Jiang International Hotels Co., Ltd.</t>
  </si>
  <si>
    <t>Orient Securities (Hong Kong) Limited</t>
  </si>
  <si>
    <t>https://www1.hkexnews.hk/app/sehk/2025/107508/documents/sehk25062900314.pdf</t>
  </si>
  <si>
    <t>160 Health International Limited</t>
  </si>
  <si>
    <t>https://www1.hkexnews.hk/app/sehk/2025/107498/documents/sehk25062703777.pdf</t>
  </si>
  <si>
    <t>OC Announcement - 27/06/2025</t>
  </si>
  <si>
    <t>Zero2IPO Securities Limited</t>
  </si>
  <si>
    <t>Anhui Haimacloud Technology Co., Ltd.</t>
  </si>
  <si>
    <t>https://www1.hkexnews.hk/app/sehk/2025/107502/documents/sehk25062704103.pdf</t>
  </si>
  <si>
    <t>GenFleet Therapeutics (Shanghai) Inc.</t>
  </si>
  <si>
    <t>https://www1.hkexnews.hk/app/sehk/2025/107496/documents/sehk25062703453.pdf</t>
  </si>
  <si>
    <t>Fosun International Securities Limited</t>
  </si>
  <si>
    <t>Hebei Asset Management Co., Limited</t>
  </si>
  <si>
    <t xml:space="preserve"> Shanxi Securities International Limited</t>
  </si>
  <si>
    <t>https://www1.hkexnews.hk/app/sehk/2025/107504/documents/sehk25062704195.pdf</t>
  </si>
  <si>
    <t>Jiangxi Qiyunshan Food Co., Ltd.</t>
  </si>
  <si>
    <t>Sole Overall Coordinator</t>
  </si>
  <si>
    <t>https://www1.hkexnews.hk/app/sehk/2025/107484/documents/sehk25062700152.pdf</t>
  </si>
  <si>
    <t>Jingze Biopharmaceutical (Hefei) Co., Ltd.</t>
  </si>
  <si>
    <t>https://www1.hkexnews.hk/app/sehk/2025/107493/documents/sehk25062703069.pdf</t>
  </si>
  <si>
    <t>OmniVision Integrated Circuits Group, Inc.</t>
  </si>
  <si>
    <t>https://www1.hkexnews.hk/app/sehk/2025/107490/documents/sehk25062702135.pdf</t>
  </si>
  <si>
    <t>Ping An Securities (Hong Kong) Company Limited</t>
  </si>
  <si>
    <t>Ridge Outdoor International Limited</t>
  </si>
  <si>
    <t>https://www1.hkexnews.hk/app/sehk/2025/107501/documents/sehk25062703899.pdf</t>
  </si>
  <si>
    <t>SinoHyKey Technology Guangzhou Co., Ltd.</t>
  </si>
  <si>
    <t>https://www1.hkexnews.hk/app/sehk/2025/107495/documents/sehk25062703435.pdf</t>
  </si>
  <si>
    <t>Suzhou ecMAX Information Technology Co., Ltd.</t>
  </si>
  <si>
    <t>https://www1.hkexnews.hk/app/sehk/2025/107457/documents/sehk25062700500.pdf</t>
  </si>
  <si>
    <t>China Everbright Securities (HK) Limited</t>
  </si>
  <si>
    <t>Yonyou Network Technology Co., Ltd.</t>
  </si>
  <si>
    <t>https://www1.hkexnews.hk/app/sehk/2025/107494/documents/sehk25062703209.pdf</t>
  </si>
  <si>
    <t>Zhuhai Comking Electric Co., Ltd.</t>
  </si>
  <si>
    <t>https://www1.hkexnews.hk/app/sehk/2025/107487/documents/sehk25062700328.pdf</t>
  </si>
  <si>
    <t>Innovax Securities Limited</t>
  </si>
  <si>
    <t>Allystar Technology (Shenzhen) Co., Ltd.</t>
  </si>
  <si>
    <t>https://www1.hkexnews.hk/app/sehk/2025/107435/documents/sehk25062502177.pdf</t>
  </si>
  <si>
    <t>OC Announcement - 25/06/2025</t>
  </si>
  <si>
    <t>11 June 2025</t>
  </si>
  <si>
    <t>Coosea Smart Technology Company Limited</t>
  </si>
  <si>
    <t>https://www1.hkexnews.hk/app/sehk/2025/107471/documents/sehk25062500320.pdf</t>
  </si>
  <si>
    <t>Delton Technology (Guangzhou) Inc.</t>
  </si>
  <si>
    <t>https://www1.hkexnews.hk/app/sehk/2025/107433/documents/sehk25062500424.pdf</t>
  </si>
  <si>
    <t>Immvira Bioscience Inc.</t>
  </si>
  <si>
    <t/>
  </si>
  <si>
    <t>https://www1.hkexnews.hk/app/sehk/2025/107478/documents/sehk25062502251.pdf</t>
  </si>
  <si>
    <t>GigaDevice Semiconductor Inc.</t>
  </si>
  <si>
    <t>https://www1.hkexnews.hk/app/sehk/2025/107462/documents/sehk25061901349.pdf</t>
  </si>
  <si>
    <t>OC Announcement - 23/06/2025</t>
  </si>
  <si>
    <t>PPLabs Technology Limited</t>
  </si>
  <si>
    <t>ICBC International Securities Limited</t>
  </si>
  <si>
    <t>https://www1.hkexnews.hk/app/sehk/2025/107464/documents/sehk25062001211.pdf</t>
  </si>
  <si>
    <t>OC Announcement - 20/06/2025</t>
  </si>
  <si>
    <t>Gpixel Changchun Microelectronics Inc.</t>
  </si>
  <si>
    <t>https://www1.hkexnews.hk/app/sehk/2025/107461/documents/sehk25061901057.pdf</t>
  </si>
  <si>
    <t>OC Announcement - 19/06/2025</t>
  </si>
  <si>
    <t>19 June 2025</t>
  </si>
  <si>
    <t>Shanghai Able Digital Science&amp;Tech Co., Ltd.</t>
  </si>
  <si>
    <t>https://www1.hkexnews.hk/app/sehk/2025/107458/documents/sehk25061801700.pdf</t>
  </si>
  <si>
    <t>OC Announcement - 18/06/2025</t>
  </si>
  <si>
    <t>17 June 2025</t>
  </si>
  <si>
    <t>Beijing Haizhi Technology Group Co., Ltd.</t>
  </si>
  <si>
    <t>https://www1.hkexnews.hk/app/sehk/2025/107452/documents/sehk25061701306.pdf</t>
  </si>
  <si>
    <t>OC Announcement - 17/06/2025</t>
  </si>
  <si>
    <t>EpimAb Biotherapeutics Inc.</t>
  </si>
  <si>
    <t>https://www1.hkexnews.hk/app/sehk/2025/107454/documents/sehk25061701408.pdf</t>
  </si>
  <si>
    <t>Beijing ESWIN Computing Technology Co., Ltd.</t>
  </si>
  <si>
    <t>https://www1.hkexnews.hk/app/sehk/2025/107412/documents/sehk25061600799.pdf</t>
  </si>
  <si>
    <t>OC Announcement - 16/06/2025</t>
  </si>
  <si>
    <t>30 May 2025</t>
  </si>
  <si>
    <t>13 June 2025</t>
  </si>
  <si>
    <t>Hope Sea Inc.</t>
  </si>
  <si>
    <t>https://www1.hkexnews.hk/app/sehk/2025/107450/documents/sehk25061601714.pdf</t>
  </si>
  <si>
    <t>Yunnan Jinxun Resources Co., Ltd.</t>
  </si>
  <si>
    <t>https://www1.hkexnews.hk/app/sehk/2025/107419/documents/sehk25061500010.pdf</t>
  </si>
  <si>
    <t>OC Announcement - 15/06/2025</t>
  </si>
  <si>
    <t>ALSCO Pooling Service Co., Ltd.</t>
  </si>
  <si>
    <t>https://www1.hkexnews.hk/app/sehk/2025/107436/documents/sehk25061301544.pdf</t>
  </si>
  <si>
    <t>OC Announcement - 13/06/2025</t>
  </si>
  <si>
    <t>Xuanzhu Biopharmaceutical Co., Ltd.</t>
  </si>
  <si>
    <t>https://www1.hkexnews.hk/app/sehk/2025/107438/documents/sehk25061301908.pdf</t>
  </si>
  <si>
    <t>Ganzhou Hemay Pharmaceutical Co., Ltd.</t>
  </si>
  <si>
    <t>SDICS International Securities (Hong Kong) Limited</t>
  </si>
  <si>
    <t>https://www1.hkexnews.hk/app/sehk/2025/107411/documents/sehk25061200539.pdf</t>
  </si>
  <si>
    <t>OC Announcement - 12/06/2025</t>
  </si>
  <si>
    <t>29 May 2025</t>
  </si>
  <si>
    <t>SPDB International Capital Limited</t>
  </si>
  <si>
    <t>12 June 2025</t>
  </si>
  <si>
    <t>Jiangsu Riyu Photovoltaic New Material Co., Ltd.</t>
  </si>
  <si>
    <t>https://www1.hkexnews.hk/app/sehk/2025/107407/documents/sehk25061201175.pdf</t>
  </si>
  <si>
    <t>JoulWatt Technology Co., Ltd.</t>
  </si>
  <si>
    <t>https://www1.hkexnews.hk/app/sehk/2025/107413/documents/sehk25061200304.pdf</t>
  </si>
  <si>
    <t>Yellow River Securities Limited</t>
  </si>
  <si>
    <t>Unisplendour Corporation Limited</t>
  </si>
  <si>
    <t>https://www1.hkexnews.hk/app/sehk/2025/107410/documents/sehk25061201279.pdf</t>
  </si>
  <si>
    <t>CF PharmTech, Inc.</t>
  </si>
  <si>
    <t>https://www1.hkexnews.hk/app/sehk/2025/107434/documents/sehk25061101455.pdf</t>
  </si>
  <si>
    <t>OC Announcement - 11/06/2025</t>
  </si>
  <si>
    <t>UISEE Technologies (Beijing) Co., Ltd.</t>
  </si>
  <si>
    <t>https://www1.hkexnews.hk/app/sehk/2025/107405/documents/sehk25061101367.pdf</t>
  </si>
  <si>
    <t>28 May 2025</t>
  </si>
  <si>
    <t>Mininglamp Technology - W (formerly known as Leading Smart Holdings Limited</t>
  </si>
  <si>
    <t>https://www1.hkexnews.hk/app/sehk/2025/107429/documents/sehk25061001248.pdf</t>
  </si>
  <si>
    <t>OC Announcement - 10/06/2025</t>
  </si>
  <si>
    <t>10 June 2025</t>
  </si>
  <si>
    <t>Shanghai Seer Intelligent Technology Co., Ltd.</t>
  </si>
  <si>
    <t>https://www1.hkexnews.hk/app/sehk/2025/107400/documents/sehk25061001432.pdf</t>
  </si>
  <si>
    <t>Shenzhen Han's CNC Technology Co., Ltd.</t>
  </si>
  <si>
    <t>https://www1.hkexnews.hk/app/sehk/2025/107415/documents/sehk25061001006.pdf</t>
  </si>
  <si>
    <t>Guangzhou Innogen Pharmaceutical Group Co., Ltd.</t>
  </si>
  <si>
    <t>https://www1.hkexnews.hk/app/sehk/2025/107428/documents/sehk25060901599.pdf</t>
  </si>
  <si>
    <t>OC Announcement - 09/06/2025</t>
  </si>
  <si>
    <t>9 June 2025</t>
  </si>
  <si>
    <t>Shenzhen Chuangzhi Semi-link Technology Co., Ltd.</t>
  </si>
  <si>
    <t>https://www1.hkexnews.hk/app/sehk/2025/107427/documents/sehk25060901523.pdf</t>
  </si>
  <si>
    <t>Worldwide Logistics Holding Inc.</t>
  </si>
  <si>
    <t>https://www1.hkexnews.hk/app/sehk/2025/107399/documents/sehk25060900807.pdf</t>
  </si>
  <si>
    <t>27 May 2025</t>
  </si>
  <si>
    <t>China Industrial Securities International Capital Limited</t>
  </si>
  <si>
    <t>Switchbot (Shenzhen) Co., Ltd.</t>
  </si>
  <si>
    <t>https://www1.hkexnews.hk/app/sehk/2025/107426/documents/sehk25060800138.pdf</t>
  </si>
  <si>
    <t>OC Announcement - 08/06/2025</t>
  </si>
  <si>
    <t>Beijing Sinotau International Pharmaceutical Technology Co., Ltd.</t>
  </si>
  <si>
    <t>https://www1.hkexnews.hk/app/sehk/2025/107395/documents/sehk25060601346.pdf</t>
  </si>
  <si>
    <t>OC Announcement - 06/06/2025</t>
  </si>
  <si>
    <t>6 June 2025</t>
  </si>
  <si>
    <t>52TOYS Development Co., Ltd.</t>
  </si>
  <si>
    <t>https://www1.hkexnews.hk/app/sehk/2025/107389/documents/sehk25060500514.pdf</t>
  </si>
  <si>
    <t>OC Announcement - 05/06/2025</t>
  </si>
  <si>
    <t>22 May 2025</t>
  </si>
  <si>
    <t>5 June 2025</t>
  </si>
  <si>
    <t>4 June 2025</t>
  </si>
  <si>
    <t>SANY Heavy Industry Co., Ltd.</t>
  </si>
  <si>
    <t>https://www1.hkexnews.hk/app/sehk/2025/107388/documents/sehk25060502412.pdf</t>
  </si>
  <si>
    <t>Shenzhen Hipine Precision Technology Co., Ltd.</t>
  </si>
  <si>
    <t>https://www1.hkexnews.hk/app/sehk/2025/107421/documents/sehk25060302776.pdf</t>
  </si>
  <si>
    <t>OC Announcement - 04/06/2025</t>
  </si>
  <si>
    <t>Hanx Biopharmaceuticals (Wuhan) Co., Ltd.</t>
  </si>
  <si>
    <t>https://www1.hkexnews.hk/app/sehk/2025/107420/documents/sehk25060203419.pdf</t>
  </si>
  <si>
    <t>OC Announcement - 02/06/2025</t>
  </si>
  <si>
    <t>2 June 2025</t>
  </si>
  <si>
    <t>Beijing 51World Digital Twin Technology Co., Ltd.</t>
  </si>
  <si>
    <t>https://www1.hkexnews.hk/app/sehk/2025/107417/documents/sehk25053002718.pdf</t>
  </si>
  <si>
    <t>OC Announcement - 30/05/2025</t>
  </si>
  <si>
    <t>Sainte Nutritional Inc.</t>
  </si>
  <si>
    <t>https://www1.hkexnews.hk/app/sehk/2025/107416/documents/sehk25053002638.pdf</t>
  </si>
  <si>
    <t>Shandong Kuailv Technology Development Co., Ltd.</t>
  </si>
  <si>
    <t>https://www1.hkexnews.hk/app/sehk/2025/107387/documents/sehk25053002516.pdf</t>
  </si>
  <si>
    <t>19 May 2025</t>
  </si>
  <si>
    <t>Easylive Group Inc.</t>
  </si>
  <si>
    <t>https://www1.hkexnews.hk/app/sehk/2025/107408/documents/sehk25052902099.pdf</t>
  </si>
  <si>
    <t>OC Announcement - 29/05/2025</t>
  </si>
  <si>
    <t>Shanghai Forest Cabin Biological-Tech Co., Ltd.</t>
  </si>
  <si>
    <t>https://www1.hkexnews.hk/app/sehk/2025/107409/documents/sehk25052902089.pdf</t>
  </si>
  <si>
    <t>Beijing DeepZero Technology Co., Ltd.</t>
  </si>
  <si>
    <t>https://www1.hkexnews.hk/app/sehk/2025/107403/documents/sehk25052801647.pdf</t>
  </si>
  <si>
    <t>OC Announcement - 28/05/2025</t>
  </si>
  <si>
    <t>Shanghai Keying E-Commerce Co., Ltd.</t>
  </si>
  <si>
    <t>Joint Overall Coordinators</t>
  </si>
  <si>
    <t>https://www1.hkexnews.hk/app/sehk/2025/107404/documents/sehk25052801777.pdf</t>
  </si>
  <si>
    <t>BASiC Semiconductor Co., Ltd.</t>
  </si>
  <si>
    <t>https://www1.hkexnews.hk/app/sehk/2025/107398/documents/sehk25052700713.pdf</t>
  </si>
  <si>
    <t>OC Announcement - 27/05/2025</t>
  </si>
  <si>
    <t>Sinolink Securities (Hong Kong) Company Limited</t>
  </si>
  <si>
    <t>FS.COM Limited</t>
  </si>
  <si>
    <t>https://www1.hkexnews.hk/app/sehk/2025/107401/documents/sehk25052701650.pdf</t>
  </si>
  <si>
    <t>Muyuan Foods Co., Ltd.</t>
  </si>
  <si>
    <t>https://www1.hkexnews.hk/app/sehk/2025/107397/documents/sehk25052700266.pdf</t>
  </si>
  <si>
    <t>Shanghai Top Numerical Control Technology Co., Ltd.</t>
  </si>
  <si>
    <t>https://www1.hkexnews.hk/app/sehk/2025/107396/documents/sehk25052601736.pdf</t>
  </si>
  <si>
    <t>OC Announcement - 26/05/2025</t>
  </si>
  <si>
    <t>26 May 2025</t>
  </si>
  <si>
    <t>Elpiscience Biopharmaceuticals, Inc.</t>
  </si>
  <si>
    <t>https://www1.hkexnews.hk/app/sehk/2025/107393/documents/sehk25052301874.pdf</t>
  </si>
  <si>
    <t>OC Announcement - 23/05/2025</t>
  </si>
  <si>
    <t>23 May 2025</t>
  </si>
  <si>
    <t>Freetech (Zhejiang) Intelligent Technology Co., Ltd.</t>
  </si>
  <si>
    <t>https://www1.hkexnews.hk/app/sehk/2025/107391/documents/sehk25052300202.pdf</t>
  </si>
  <si>
    <t>Jiangsu New Vision Automotive Electronics Co., Ltd.</t>
  </si>
  <si>
    <t>https://www1.hkexnews.hk/app/sehk/2025/107351/documents/sehk25052301512.pdf</t>
  </si>
  <si>
    <t>9 May 2025</t>
  </si>
  <si>
    <t>Shenzhen SDMC Technology Co., Ltd.</t>
  </si>
  <si>
    <t>https://www1.hkexnews.hk/app/sehk/2025/107394/documents/sehk25052301952.pdf</t>
  </si>
  <si>
    <t>JST Group Corporation Limited</t>
  </si>
  <si>
    <t>https://www1.hkexnews.hk/app/sehk/2025/107390/documents/sehk25052201654.pdf</t>
  </si>
  <si>
    <t>OC Announcement - 22/05/2025</t>
  </si>
  <si>
    <t>J.P. Morgan Securities (Asia Pacific) Limited</t>
  </si>
  <si>
    <t>Janbon High Tech Co., Ltd.</t>
  </si>
  <si>
    <t>https://www1.hkexnews.hk/app/sehk/2025/107331/documents/sehk25051500716.pdf</t>
  </si>
  <si>
    <t>OC Announcement - 15/05/2025</t>
  </si>
  <si>
    <t>14 May 2025</t>
  </si>
  <si>
    <t>CMBC Securities Company Limited</t>
  </si>
  <si>
    <t>Livermore Holdings Limited</t>
  </si>
  <si>
    <t>15 May 2025</t>
  </si>
  <si>
    <t>Nuobikan Artificial Intelligence Technology (Chengdu) Co., Ltd.</t>
  </si>
  <si>
    <t>https://www1.hkexnews.hk/app/sehk/2025/107367/documents/sehk25051401052.pdf</t>
  </si>
  <si>
    <t>OC Announcement - 14/05/2025</t>
  </si>
  <si>
    <t>Eastenova (Chengdu) Biotechnology Co., Ltd.</t>
  </si>
  <si>
    <t>https://www1.hkexnews.hk/app/sehk/2025/107366/documents/sehk25051201289.pdf</t>
  </si>
  <si>
    <t>OC Announcement - 12/05/2025</t>
  </si>
  <si>
    <t>12 May 2025</t>
  </si>
  <si>
    <t>OUR United Corporation</t>
  </si>
  <si>
    <t>https://www1.hkexnews.hk/app/sehk/2025/107317/documents/sehk25051200876.pdf</t>
  </si>
  <si>
    <t>28 April 2025</t>
  </si>
  <si>
    <t>Hangzhou Tongshifu Cultural and Creative (Group) Co., Ltd.</t>
  </si>
  <si>
    <t>https://www1.hkexnews.hk/app/sehk/2025/107350/documents/sehk25050901308.pdf</t>
  </si>
  <si>
    <t>OC Announcement - 09/05/2025</t>
  </si>
  <si>
    <t>Shanghai Fuiou Payment Service Corp., Ltd.</t>
  </si>
  <si>
    <t>https://www1.hkexnews.hk/app/sehk/2025/107352/documents/sehk25050901500.pdf</t>
  </si>
  <si>
    <t>Three Squirrels Inc.</t>
  </si>
  <si>
    <t>https://www1.hkexnews.hk/app/sehk/2025/107311/documents/sehk25050900742.pdf</t>
  </si>
  <si>
    <t>25 April 2025</t>
  </si>
  <si>
    <t>Zhongding Intelligent (Wuxi) Technology Co., Ltd.</t>
  </si>
  <si>
    <t>https://www1.hkexnews.hk/app/sehk/2025/107353/documents/sehk25050901580.pdf</t>
  </si>
  <si>
    <t>Cloudchain Group Co., Ltd.</t>
  </si>
  <si>
    <t>https://www1.hkexnews.hk/app/sehk/2025/107346/documents/sehk25050602794.pdf</t>
  </si>
  <si>
    <t>OC Announcement - 06/05/2025</t>
  </si>
  <si>
    <t>6 May 2025</t>
  </si>
  <si>
    <t>Maxa Capital Limited</t>
  </si>
  <si>
    <t>CNGR Advanced Material Co., Ltd.</t>
  </si>
  <si>
    <t>https://www1.hkexnews.hk/app/sehk/2025/107306/documents/sehk25050602316.pdf</t>
  </si>
  <si>
    <t>Busy Ming Group Co., Ltd.</t>
  </si>
  <si>
    <t>https://www1.hkexnews.hk/app/sehk/2025/107321/documents/sehk25050203094.pdf</t>
  </si>
  <si>
    <t>OC Announcement - 02/05/2025</t>
  </si>
  <si>
    <t>Goldman Sachs (Asia) L.L.C.</t>
  </si>
  <si>
    <t>30 April 2025</t>
  </si>
  <si>
    <t>Axbio International Limited</t>
  </si>
  <si>
    <t>https://www1.hkexnews.hk/app/sehk/2025/107327/documents/sehk25043003715.pdf</t>
  </si>
  <si>
    <t>OC Announcement - 30/04/2025</t>
  </si>
  <si>
    <t>Huoli Group Holdings Limited</t>
  </si>
  <si>
    <t>https://www1.hkexnews.hk/app/sehk/2025/107328/documents/sehk25043004110.pdf</t>
  </si>
  <si>
    <t>Nanjing Perlove Medical Equipment Co., Ltd.</t>
  </si>
  <si>
    <t>https://www1.hkexnews.hk/app/sehk/2025/107326/documents/sehk25043003243.pdf</t>
  </si>
  <si>
    <t>Terminus Smart Technology Co., Ltd. (formerly known as Chongqing Terminus Smart Technology Inc., Co., Ltd.</t>
  </si>
  <si>
    <t>https://www1.hkexnews.hk/app/sehk/2025/107330/documents/sehk25043004430.pdf</t>
  </si>
  <si>
    <t>Keytop Parking Inc.</t>
  </si>
  <si>
    <t>https://www1.hkexnews.hk/app/sehk/2025/107324/documents/sehk25042905247.pdf</t>
  </si>
  <si>
    <t>OC Announcement - 29/04/2025</t>
  </si>
  <si>
    <t>29 April 2025</t>
  </si>
  <si>
    <t>Boxihe Outdoor Sports Group Co., Ltd.</t>
  </si>
  <si>
    <t>https://www1.hkexnews.hk/app/sehk/2025/107315/documents/sehk25042800396.pdf</t>
  </si>
  <si>
    <t>OC Announcement - 28/04/2025</t>
  </si>
  <si>
    <t>Guoxia Technology Co., Ltd.</t>
  </si>
  <si>
    <t>https://www1.hkexnews.hk/app/sehk/2025/107323/documents/sehk25042804692.pdf</t>
  </si>
  <si>
    <t>JA Solar Technology Co., Ltd.</t>
  </si>
  <si>
    <t>https://www1.hkexnews.hk/app/sehk/2025/107319/documents/sehk25042802651.pdf</t>
  </si>
  <si>
    <t>Nanhua Futures Co., Ltd.</t>
  </si>
  <si>
    <t>https://www1.hkexnews.hk/app/sehk/2025/107301/documents/sehk25042802829.pdf</t>
  </si>
  <si>
    <t>17 April 2025</t>
  </si>
  <si>
    <t>HGNH International Securities Co., Limited</t>
  </si>
  <si>
    <t>Seres Group Co., Ltd.</t>
  </si>
  <si>
    <t>https://www1.hkexnews.hk/app/sehk/2025/107318/documents/sehk25042801702.pdf</t>
  </si>
  <si>
    <t>Shenzhen Hongyeji Geotechnical Technology Co., Ltd.</t>
  </si>
  <si>
    <t>https://www1.hkexnews.hk/app/sehk/2025/107322/documents/sehk25042804698.pdf</t>
  </si>
  <si>
    <t>Deepexi Technology Co., Ltd.</t>
  </si>
  <si>
    <t>https://www1.hkexnews.hk/app/sehk/2025/107298/documents/sehk25042501648.pdf</t>
  </si>
  <si>
    <t>OC Announcement - 25/04/2025</t>
  </si>
  <si>
    <t>Hongxing Coldchain (Hunan) Co., Ltd.</t>
  </si>
  <si>
    <t>https://www1.hkexnews.hk/app/sehk/2025/107310/documents/sehk25042503674.pdf</t>
  </si>
  <si>
    <t>Suzhou Novosense Microelectronics Co., Ltd.</t>
  </si>
  <si>
    <t>https://www1.hkexnews.hk/app/sehk/2025/107309/documents/sehk25042502928.pdf</t>
  </si>
  <si>
    <t>Suzhou Ribo Life Science Co., Ltd.</t>
  </si>
  <si>
    <t>https://www1.hkexnews.hk/app/sehk/2025/107314/documents/sehk25042504292.pdf</t>
  </si>
  <si>
    <t>Epiworld International Co., Ltd.</t>
  </si>
  <si>
    <t>https://www1.hkexnews.hk/app/sehk/2025/107286/documents/sehk25042300224.pdf</t>
  </si>
  <si>
    <t>OC Announcement - 23/04/2025</t>
  </si>
  <si>
    <t>8 April 2025</t>
  </si>
  <si>
    <t>23 April 2025</t>
  </si>
  <si>
    <t>Everdisplay Optronics (Shanghai) Co., Ltd.</t>
  </si>
  <si>
    <t>https://www1.hkexnews.hk/app/sehk/2025/107308/documents/sehk25042302642.pdf</t>
  </si>
  <si>
    <t>Sichuan Neautus Traditional Chinese Medicine Co., Ltd.</t>
  </si>
  <si>
    <t>https://www1.hkexnews.hk/app/sehk/2025/107267/documents/sehk25041700192.pdf</t>
  </si>
  <si>
    <t>OC Announcement - 17/04/2025</t>
  </si>
  <si>
    <t>15 April 2025</t>
  </si>
  <si>
    <t>Xizang Zhihui Mining Co., Ltd.</t>
  </si>
  <si>
    <t>https://www1.hkexnews.hk/app/sehk/2025/107300/documents/sehk25041701646.pdf</t>
  </si>
  <si>
    <t>Liuliu Orchard Group Co., Ltd.</t>
  </si>
  <si>
    <t>https://www1.hkexnews.hk/app/sehk/2025/107299/documents/sehk25041602012.pdf</t>
  </si>
  <si>
    <t>OC Announcement - 16/04/2025</t>
  </si>
  <si>
    <t>16 April 2025</t>
  </si>
  <si>
    <t>Guangzhou Xiao Noodles Catering Management Co., Ltd.</t>
  </si>
  <si>
    <t>https://www1.hkexnews.hk/app/sehk/2025/107294/documents/sehk25041500114.pdf</t>
  </si>
  <si>
    <t>OC Announcement - 15/04/2025</t>
  </si>
  <si>
    <t>Shenzhen Sunyou Cross-border Logistics Co., Ltd.</t>
  </si>
  <si>
    <t>https://www1.hkexnews.hk/app/sehk/2025/107295/documents/sehk25041501464.pdf</t>
  </si>
  <si>
    <t>Jiangxi Institute of Biological Products Inc.</t>
  </si>
  <si>
    <t>https://www1.hkexnews.hk/app/sehk/2025/107292/documents/sehk25041101828.pdf</t>
  </si>
  <si>
    <t>OC Announcement - 11/04/2025</t>
  </si>
  <si>
    <t>11 April 2025</t>
  </si>
  <si>
    <t>JINGDONG Industrials, Inc.</t>
  </si>
  <si>
    <t>Merrill Lynch (Asia Pacific) Limited</t>
  </si>
  <si>
    <t>https://www1.hkexnews.hk/app/sehk/2025/107246/documents/sehk25041100010.pdf</t>
  </si>
  <si>
    <t>30 March 2025</t>
  </si>
  <si>
    <t>UBS AG Hong Kong Branch</t>
  </si>
  <si>
    <t>10 April 2025</t>
  </si>
  <si>
    <t>Xiamen Hithium Energy Storage Technology Co., Ltd.</t>
  </si>
  <si>
    <t>https://www1.hkexnews.hk/app/sehk/2025/107228/documents/sehk25040801175.pdf</t>
  </si>
  <si>
    <t>OC Announcement - 08/04/2025</t>
  </si>
  <si>
    <t>Lalatech Holdings Limited</t>
  </si>
  <si>
    <t>https://www1.hkexnews.hk/app/sehk/2025/107268/documents/sehk25040302483.pdf</t>
  </si>
  <si>
    <t>OC Announcement - 03/04/2025</t>
  </si>
  <si>
    <t>3 April 2025</t>
  </si>
  <si>
    <t>Qingdao Windaka Technology Co., Ltd.</t>
  </si>
  <si>
    <t>https://www1.hkexnews.hk/app/sehk/2025/107269/documents/sehk25040302733.pdf</t>
  </si>
  <si>
    <t>Rainbow Capital (HK) Limited</t>
  </si>
  <si>
    <t>Beijing Yunji Technology Co., Ltd.</t>
  </si>
  <si>
    <t>https://www1.hkexnews.hk/app/sehk/2025/107209/documents/sehk25040201994.pdf</t>
  </si>
  <si>
    <t>OC Announcement - 02/04/2025</t>
  </si>
  <si>
    <t>21 March 2025</t>
  </si>
  <si>
    <t>2 April 2025</t>
  </si>
  <si>
    <t>Distinct Healthcare Holdings Limited</t>
  </si>
  <si>
    <t>https://www1.hkexnews.hk/app/sehk/2025/107206/documents/sehk25040101479.pdf</t>
  </si>
  <si>
    <t>OC Announcement - 01/04/2025</t>
  </si>
  <si>
    <t>1 April 2025</t>
  </si>
  <si>
    <t>Jiaxin International Resources Investment Limited</t>
  </si>
  <si>
    <t>https://www1.hkexnews.hk/app/sehk/2025/107248/documents/sehk25033102590.pdf</t>
  </si>
  <si>
    <t>OC Announcement - 31/03/2025</t>
  </si>
  <si>
    <t>31 March 2025</t>
  </si>
  <si>
    <t>Annoroad Gene Technology (Beijing) Co., Ltd.</t>
  </si>
  <si>
    <t>https://www1.hkexnews.hk/app/sehk/2025/107227/documents/sehk25032501928.pdf</t>
  </si>
  <si>
    <t>OC Announcement - 25/03/2025</t>
  </si>
  <si>
    <t>25 March 2025</t>
  </si>
  <si>
    <t>PATEO CONNECT Technology (Shanghai) Corporation</t>
  </si>
  <si>
    <t>https://www1.hkexnews.hk/app/sehk/2025/107226/documents/sehk25032501308.pdf</t>
  </si>
  <si>
    <t>AOLG Services Group Co., Ltd</t>
  </si>
  <si>
    <t>https://www1.hkexnews.hk/app/sehk/2025/107207/documents/sehk25032100204.pdf</t>
  </si>
  <si>
    <t>OC Announcement - 21/03/2025</t>
  </si>
  <si>
    <t>Shenzhen Longsys Electronics Co., Ltd.</t>
  </si>
  <si>
    <t>https://www1.hkexnews.hk/app/sehk/2025/107208/documents/sehk25032100879.pdf</t>
  </si>
  <si>
    <t>Chery Automobile Co., Ltd.</t>
  </si>
  <si>
    <t>https://www1.hkexnews.hk/app/sehk/2025/107145/documents/sehk25031400798.pdf</t>
  </si>
  <si>
    <t>OC Announcement - 14/03/2025</t>
  </si>
  <si>
    <t>14 March 2025</t>
  </si>
  <si>
    <t>Hebei Haiwei Electronic New Material Technology Co., Ltd.</t>
  </si>
  <si>
    <t>https://www1.hkexnews.hk/app/sehk/2025/107140/documents/sehk25031300010.pdf</t>
  </si>
  <si>
    <t>OC Announcement - 13/03/2025</t>
  </si>
  <si>
    <t>26 February 2025</t>
  </si>
  <si>
    <t>13 March 2025</t>
  </si>
  <si>
    <t>Solarspace Technology Co., Ltd.</t>
  </si>
  <si>
    <t>https://www1.hkexnews.hk/app/sehk/2025/107187/documents/sehk25031301548.pdf</t>
  </si>
  <si>
    <t>Corporate Finance Company Limited</t>
  </si>
  <si>
    <t>Shuangdeng Group Co., Ltd.</t>
  </si>
  <si>
    <t>https://www1.hkexnews.hk/app/sehk/2025/107186/documents/sehk25031200008.pdf</t>
  </si>
  <si>
    <t>OC Announcement - 12/03/2025</t>
  </si>
  <si>
    <t>12 March 2025</t>
  </si>
  <si>
    <t>Uni-Star Interactive Holding Limited</t>
  </si>
  <si>
    <t>https://www1.hkexnews.hk/app/sehk/2025/107141/documents/sehk25031201060.pdf</t>
  </si>
  <si>
    <t>SICC Co., Ltd.</t>
  </si>
  <si>
    <t>https://www1.hkexnews.hk/app/sehk/2025/107138/documents/sehk25031001269.pdf</t>
  </si>
  <si>
    <t>OC Announcement - 10/03/2025</t>
  </si>
  <si>
    <t>10 March 2025</t>
  </si>
  <si>
    <t>UOB Kay Hian (Hong Kong) Limited</t>
  </si>
  <si>
    <t>SATP Holding Inc.</t>
  </si>
  <si>
    <t>https://www1.hkexnews.hk/app/sehk/2025/107166/documents/sehk25030701338.pdf</t>
  </si>
  <si>
    <t>OC Announcement - 07/03/2025</t>
  </si>
  <si>
    <t>7 March 2025</t>
  </si>
  <si>
    <t>Genuine Biotech Limited</t>
  </si>
  <si>
    <t>https://www1.hkexnews.hk/app/sehk/2025/107133/documents/sehk25030402103.pdf</t>
  </si>
  <si>
    <t>OC Announcement - 04/03/2025</t>
  </si>
  <si>
    <t>4 March 2025</t>
  </si>
  <si>
    <t>Baige Online Digital Technology Co., Ltd.</t>
  </si>
  <si>
    <t>https://www1.hkexnews.hk/app/sehk/2025/107146/documents/sehk25022801842.pdf</t>
  </si>
  <si>
    <t>OC Announcement - 28/02/2025</t>
  </si>
  <si>
    <t>28 February 2025</t>
  </si>
  <si>
    <t>Huge Dental Limited</t>
  </si>
  <si>
    <t>https://www1.hkexnews.hk/app/sehk/2025/107132/documents/sehk25022801330.pdf</t>
  </si>
  <si>
    <t>Daiwa Capital Markets Hong Kong Limited</t>
  </si>
  <si>
    <t xml:space="preserve">Seyond Holdings Ltd. </t>
  </si>
  <si>
    <t>https://www1.hkexnews.hk/app/sehk/2025/107128/documents/sehk25022600830.pdf</t>
  </si>
  <si>
    <t>OC Announcement - 26/02/2025</t>
  </si>
  <si>
    <t xml:space="preserve"> Zero2IPO Securities Limited</t>
  </si>
  <si>
    <t>Wuxi Lead Intelligent Equipment Co., Ltd.</t>
  </si>
  <si>
    <t>https://www1.hkexnews.hk/app/sehk/2025/107139/documents/sehk25022500578.pdf</t>
  </si>
  <si>
    <t>OC Announcement - 25/02/2025</t>
  </si>
  <si>
    <t>25 February 2025</t>
  </si>
  <si>
    <t>Sigenergy Technology Co., Ltd.</t>
  </si>
  <si>
    <t>https://www1.hkexnews.hk/app/sehk/2025/107134/documents/sehk25022101034.pdf</t>
  </si>
  <si>
    <t>OC Announcement - 21/02/2025</t>
  </si>
  <si>
    <t>21 February 2025</t>
  </si>
  <si>
    <t>Manycore Tech Inc.</t>
  </si>
  <si>
    <t>https://www1.hkexnews.hk/app/sehk/2025/107129/documents/sehk25021401102.pdf</t>
  </si>
  <si>
    <t>OC Announcement - 14/02/2025</t>
  </si>
  <si>
    <t>14 February 2025</t>
  </si>
  <si>
    <t>USAS Building System (Shanghai) Co., Ltd.</t>
  </si>
  <si>
    <t>https://www1.hkexnews.hk/app/sehk/2025/107130/documents/sehk25021401440.pdf</t>
  </si>
  <si>
    <t>Vigonvita Life Sciences Co., Ltd.</t>
  </si>
  <si>
    <t>https://www1.hkexnews.hk/app/sehk/2025/107116/documents/sehk25021100186.pdf</t>
  </si>
  <si>
    <t>OC Announcement - 11/02/2025</t>
  </si>
  <si>
    <t>11 February 2025</t>
  </si>
  <si>
    <t>Adaspace Technology Co., Ltd.</t>
  </si>
  <si>
    <t>https://www1.hkexnews.hk/app/sehk/2025/107117/documents/sehk25021001020.pdf</t>
  </si>
  <si>
    <t>OC Announcement - 10/02/2025</t>
  </si>
  <si>
    <t>10 February 2025</t>
  </si>
  <si>
    <t>QingSong Health Corporation</t>
  </si>
  <si>
    <t>https://www1.hkexnews.hk/app/sehk/2025/107120/documents/sehk25012800905.pdf</t>
  </si>
  <si>
    <t>OC Announcement - 28/01/2025</t>
  </si>
  <si>
    <t>28 January 2025</t>
  </si>
  <si>
    <t>Softcare Limited</t>
  </si>
  <si>
    <t>https://www1.hkexnews.hk/app/sehk/2025/107119/documents/sehk25012701494.pdf</t>
  </si>
  <si>
    <t>OC Announcement - 27/01/2025</t>
  </si>
  <si>
    <t>27 January 2025</t>
  </si>
  <si>
    <t>Hi-Think Technology International Limited</t>
  </si>
  <si>
    <t>https://www1.hkexnews.hk/app/sehk/2025/107115/documents/sehk25012401922.pdf</t>
  </si>
  <si>
    <t>OC Announcement - 24/01/2025</t>
  </si>
  <si>
    <t>24 January 2025</t>
  </si>
  <si>
    <t>Ningbo Joyson Electronic Corp.</t>
  </si>
  <si>
    <t>https://www1.hkexnews.hk/app/sehk/2025/107094/documents/sehk25012401928.pdf</t>
  </si>
  <si>
    <t>16 January 2025</t>
  </si>
  <si>
    <t>Shandong Victorysoft Co., Ltd.</t>
  </si>
  <si>
    <t>https://www1.hkexnews.hk/app/sehk/2025/107111/documents/sehk25012301155.pdf</t>
  </si>
  <si>
    <t>OC Announcement - 23/01/2025</t>
  </si>
  <si>
    <t>23 January 2025</t>
  </si>
  <si>
    <t>Fujian Lemo IoT Technology Co., Ltd</t>
  </si>
  <si>
    <t>https://www1.hkexnews.hk/app/sehk/2025/107109/documents/sehk25012101237.pdf</t>
  </si>
  <si>
    <t>OC Announcement - 21/01/2025</t>
  </si>
  <si>
    <t>21 January 2025</t>
  </si>
  <si>
    <t>Shanghai Bao Pharmaceuticals Co., Ltd.</t>
  </si>
  <si>
    <t>https://www1.hkexnews.hk/app/sehk/2025/107103/documents/sehk25012100975.pdf</t>
  </si>
  <si>
    <t>Sichuan Biokin Pharmaceutical Co., Ltd.</t>
  </si>
  <si>
    <t>https://www1.hkexnews.hk/app/sehk/2025/107104/documents/sehk25012101101.pdf</t>
  </si>
  <si>
    <t>Goertek Microelectronics Inc.</t>
  </si>
  <si>
    <t>https://www1.hkexnews.hk/app/sehk/2025/107099/documents/sehk25012000435.pdf</t>
  </si>
  <si>
    <t>OC Announcement - 20/01/2025</t>
  </si>
  <si>
    <t>20 January 2025</t>
  </si>
  <si>
    <t>Bama Tea Co., Ltd.</t>
  </si>
  <si>
    <t>https://www1.hkexnews.hk/app/sehk/2025/107097/documents/sehk25011701319.pdf</t>
  </si>
  <si>
    <t>OC Announcement - 17/01/2025</t>
  </si>
  <si>
    <t>17 January 2025</t>
  </si>
  <si>
    <t>TFI Securities and Futures Limited</t>
  </si>
  <si>
    <t>Videotimes Technology Holdings Limited</t>
  </si>
  <si>
    <t>Kingsway Financial Service Group Limited</t>
  </si>
  <si>
    <t>https://www1.hkexnews.hk/app/sehk/2025/107096/documents/sehk25011701165.pdf</t>
  </si>
  <si>
    <t>Aux Electric Co., Ltd.</t>
  </si>
  <si>
    <t>https://www1.hkexnews.hk/app/sehk/2025/107089/documents/sehk25011500267.pdf</t>
  </si>
  <si>
    <t>OC Announcement - 15/01/2025</t>
  </si>
  <si>
    <t>15 January 2025</t>
  </si>
  <si>
    <t>Donson Marketing Technology Limited</t>
  </si>
  <si>
    <t>https://www1.hkexnews.hk/app/sehk/2025/107093/documents/sehk25011501406.pdf</t>
  </si>
  <si>
    <t>Impression Dahongpao Co., Ltd.</t>
  </si>
  <si>
    <t>https://www1.hkexnews.hk/app/sehk/2025/107092/documents/sehk25011501308.pdf</t>
  </si>
  <si>
    <t>Innovation Global Industries Holdings Limited</t>
  </si>
  <si>
    <t>https://www1.hkexnews.hk/app/sehk/2025/107088/documents/sehk25011301047.pdf</t>
  </si>
  <si>
    <t>OC Announcement - 13/01/2025</t>
  </si>
  <si>
    <t>13 January 2025</t>
  </si>
  <si>
    <t>OC Announcement - 12/01/2025</t>
  </si>
  <si>
    <t>Coland Ocean Group Limited</t>
  </si>
  <si>
    <t>Yue Xiu Capital Limited</t>
  </si>
  <si>
    <t>https://www1.hkexnews.hk/app/sehk/2025/107086/documents/sehk25011200158.pdf</t>
  </si>
  <si>
    <t>Total Mandates</t>
  </si>
  <si>
    <t>Sponsor Roles</t>
  </si>
  <si>
    <t>Lead Rate %</t>
  </si>
  <si>
    <t>Market Share %</t>
  </si>
  <si>
    <t>Note: Sort by 'Total Mandates' column to see most active banks</t>
  </si>
  <si>
    <t>KEY BANKS PARTNERSHIP ANALYSIS</t>
  </si>
  <si>
    <t>Huatai</t>
  </si>
  <si>
    <t>Total Deals:</t>
  </si>
  <si>
    <t>As Sponsor:</t>
  </si>
  <si>
    <t>Top Partners:</t>
  </si>
  <si>
    <t>deals together</t>
  </si>
  <si>
    <t>Morgan Stanley</t>
  </si>
  <si>
    <t>Bank of America/Merrill Lynch</t>
  </si>
  <si>
    <t>STRATEGIC INSIGHTS:</t>
  </si>
  <si>
    <t>• ABCI Capital works with both Huatai (5 deals) and Morgan Stanley (2 deals) - potential bridge</t>
  </si>
  <si>
    <t>• CLSA and CICC dominate the market with 127 combined mandates (28% market share)</t>
  </si>
  <si>
    <t>• Huatai's strongest partnership is with CICC (12 deals) - leverage this relationship</t>
  </si>
  <si>
    <t>• Morgan Stanley and Bank of America have limited presence - opportunity for growth</t>
  </si>
  <si>
    <t>• 'Sponsor' roles indicate leadership position - 23% of all roles</t>
  </si>
  <si>
    <t>RECURRING PARTNERSHIPS (3+ DEALS)</t>
  </si>
  <si>
    <t>Bank 1</t>
  </si>
  <si>
    <t>Bank 2</t>
  </si>
  <si>
    <t>Deal Count</t>
  </si>
  <si>
    <t>Key Bank Involved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</si>
</sst>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sz val="11"/>
      <color theme="0"/>
      <name val="Calibri (Body)"/>
    </font>
    <font>
      <b/>
      <sz val="11"/>
      <color theme="0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165" fontId="0" fillId="0" borderId="0" xfId="0" applyNumberFormat="1"/>
    <xf numFmtId="0" fontId="3" fillId="0" borderId="0" xfId="0" applyFont="1"/>
    <xf numFmtId="0" fontId="6" fillId="0" borderId="0" xfId="0" applyFont="1"/>
    <xf numFmtId="0" fontId="0" fillId="4" borderId="0" xfId="0" applyFill="1"/>
    <xf numFmtId="0" fontId="7" fillId="0" borderId="0" xfId="0" applyFont="1"/>
    <xf numFmtId="0" fontId="8" fillId="2" borderId="0" xfId="0" applyFont="1" applyFill="1"/>
    <xf numFmtId="0" fontId="4" fillId="0" borderId="0" xfId="0" applyFont="1"/>
    <xf numFmtId="0" fontId="0" fillId="0" borderId="0" xfId="0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54"/>
  <sheetViews>
    <sheetView workbookViewId="0">
      <selection activeCell="B101" sqref="B101"/>
    </sheetView>
  </sheetViews>
  <sheetFormatPr baseColWidth="10" defaultColWidth="8.83203125" defaultRowHeight="15" x14ac:dyDescent="0.2"/>
  <cols>
    <col min="1" max="2" width="50" customWidth="1"/>
    <col min="3" max="3" width="35" customWidth="1"/>
    <col min="4" max="4" width="50" customWidth="1"/>
    <col min="5" max="5" width="30" customWidth="1"/>
    <col min="6" max="6" width="2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2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6" hidden="1" x14ac:dyDescent="0.2">
      <c r="A4" t="s">
        <v>6</v>
      </c>
      <c r="B4" t="s">
        <v>15</v>
      </c>
      <c r="C4" t="s">
        <v>13</v>
      </c>
      <c r="D4" t="s">
        <v>9</v>
      </c>
      <c r="E4" t="s">
        <v>10</v>
      </c>
      <c r="F4" t="s">
        <v>14</v>
      </c>
    </row>
    <row r="5" spans="1:6" hidden="1" x14ac:dyDescent="0.2">
      <c r="A5" t="s">
        <v>16</v>
      </c>
      <c r="B5" t="s">
        <v>17</v>
      </c>
      <c r="C5" t="s">
        <v>8</v>
      </c>
      <c r="D5" t="s">
        <v>18</v>
      </c>
      <c r="E5" t="s">
        <v>10</v>
      </c>
      <c r="F5" t="s">
        <v>19</v>
      </c>
    </row>
    <row r="6" spans="1:6" hidden="1" x14ac:dyDescent="0.2">
      <c r="A6" t="s">
        <v>16</v>
      </c>
      <c r="B6" t="s">
        <v>20</v>
      </c>
      <c r="C6" t="s">
        <v>13</v>
      </c>
      <c r="D6" t="s">
        <v>18</v>
      </c>
      <c r="E6" t="s">
        <v>10</v>
      </c>
      <c r="F6" t="s">
        <v>14</v>
      </c>
    </row>
    <row r="7" spans="1:6" hidden="1" x14ac:dyDescent="0.2">
      <c r="A7" t="s">
        <v>16</v>
      </c>
      <c r="B7" t="s">
        <v>7</v>
      </c>
      <c r="C7" t="s">
        <v>13</v>
      </c>
      <c r="D7" t="s">
        <v>18</v>
      </c>
      <c r="E7" t="s">
        <v>10</v>
      </c>
      <c r="F7" t="s">
        <v>14</v>
      </c>
    </row>
    <row r="8" spans="1:6" hidden="1" x14ac:dyDescent="0.2">
      <c r="A8" t="s">
        <v>21</v>
      </c>
      <c r="B8" t="s">
        <v>20</v>
      </c>
      <c r="C8" t="s">
        <v>8</v>
      </c>
      <c r="D8" t="s">
        <v>22</v>
      </c>
      <c r="E8" t="s">
        <v>23</v>
      </c>
      <c r="F8" t="s">
        <v>19</v>
      </c>
    </row>
    <row r="9" spans="1:6" hidden="1" x14ac:dyDescent="0.2">
      <c r="A9" t="s">
        <v>21</v>
      </c>
      <c r="B9" t="s">
        <v>7</v>
      </c>
      <c r="C9" t="s">
        <v>13</v>
      </c>
      <c r="D9" t="s">
        <v>22</v>
      </c>
      <c r="E9" t="s">
        <v>23</v>
      </c>
      <c r="F9" t="s">
        <v>24</v>
      </c>
    </row>
    <row r="10" spans="1:6" hidden="1" x14ac:dyDescent="0.2">
      <c r="A10" t="s">
        <v>25</v>
      </c>
      <c r="B10" t="s">
        <v>26</v>
      </c>
      <c r="C10" t="s">
        <v>8</v>
      </c>
      <c r="D10" t="s">
        <v>27</v>
      </c>
      <c r="E10" t="s">
        <v>23</v>
      </c>
      <c r="F10" t="s">
        <v>11</v>
      </c>
    </row>
    <row r="11" spans="1:6" hidden="1" x14ac:dyDescent="0.2">
      <c r="A11" t="s">
        <v>25</v>
      </c>
      <c r="B11" t="s">
        <v>28</v>
      </c>
      <c r="C11" t="s">
        <v>8</v>
      </c>
      <c r="D11" t="s">
        <v>27</v>
      </c>
      <c r="E11" t="s">
        <v>23</v>
      </c>
      <c r="F11" t="s">
        <v>11</v>
      </c>
    </row>
    <row r="12" spans="1:6" hidden="1" x14ac:dyDescent="0.2">
      <c r="A12" t="s">
        <v>25</v>
      </c>
      <c r="B12" t="s">
        <v>29</v>
      </c>
      <c r="C12" t="s">
        <v>8</v>
      </c>
      <c r="D12" t="s">
        <v>27</v>
      </c>
      <c r="E12" t="s">
        <v>23</v>
      </c>
      <c r="F12" t="s">
        <v>11</v>
      </c>
    </row>
    <row r="13" spans="1:6" hidden="1" x14ac:dyDescent="0.2">
      <c r="A13" t="s">
        <v>25</v>
      </c>
      <c r="B13" t="s">
        <v>30</v>
      </c>
      <c r="C13" t="s">
        <v>13</v>
      </c>
      <c r="D13" t="s">
        <v>27</v>
      </c>
      <c r="E13" t="s">
        <v>23</v>
      </c>
      <c r="F13" t="s">
        <v>24</v>
      </c>
    </row>
    <row r="14" spans="1:6" hidden="1" x14ac:dyDescent="0.2">
      <c r="A14" t="s">
        <v>31</v>
      </c>
      <c r="B14" t="s">
        <v>32</v>
      </c>
      <c r="C14" t="s">
        <v>8</v>
      </c>
      <c r="D14" t="s">
        <v>33</v>
      </c>
      <c r="E14" t="s">
        <v>23</v>
      </c>
      <c r="F14" t="s">
        <v>34</v>
      </c>
    </row>
    <row r="15" spans="1:6" hidden="1" x14ac:dyDescent="0.2">
      <c r="A15" t="s">
        <v>31</v>
      </c>
      <c r="B15" t="s">
        <v>7</v>
      </c>
      <c r="C15" t="s">
        <v>8</v>
      </c>
      <c r="D15" t="s">
        <v>33</v>
      </c>
      <c r="E15" t="s">
        <v>23</v>
      </c>
      <c r="F15" t="s">
        <v>34</v>
      </c>
    </row>
    <row r="16" spans="1:6" x14ac:dyDescent="0.2">
      <c r="A16" t="s">
        <v>31</v>
      </c>
      <c r="B16" t="s">
        <v>35</v>
      </c>
      <c r="C16" t="s">
        <v>8</v>
      </c>
      <c r="D16" t="s">
        <v>33</v>
      </c>
      <c r="E16" t="s">
        <v>23</v>
      </c>
      <c r="F16" t="s">
        <v>34</v>
      </c>
    </row>
    <row r="17" spans="1:6" hidden="1" x14ac:dyDescent="0.2">
      <c r="A17" t="s">
        <v>31</v>
      </c>
      <c r="B17" t="s">
        <v>12</v>
      </c>
      <c r="C17" t="s">
        <v>13</v>
      </c>
      <c r="D17" t="s">
        <v>33</v>
      </c>
      <c r="E17" t="s">
        <v>23</v>
      </c>
      <c r="F17" t="s">
        <v>24</v>
      </c>
    </row>
    <row r="18" spans="1:6" hidden="1" x14ac:dyDescent="0.2">
      <c r="A18" t="s">
        <v>36</v>
      </c>
      <c r="B18" t="s">
        <v>20</v>
      </c>
      <c r="C18" t="s">
        <v>8</v>
      </c>
      <c r="D18" t="s">
        <v>37</v>
      </c>
      <c r="E18" t="s">
        <v>23</v>
      </c>
      <c r="F18" t="s">
        <v>19</v>
      </c>
    </row>
    <row r="19" spans="1:6" hidden="1" x14ac:dyDescent="0.2">
      <c r="A19" t="s">
        <v>36</v>
      </c>
      <c r="B19" t="s">
        <v>7</v>
      </c>
      <c r="C19" t="s">
        <v>8</v>
      </c>
      <c r="D19" t="s">
        <v>37</v>
      </c>
      <c r="E19" t="s">
        <v>23</v>
      </c>
      <c r="F19" t="s">
        <v>19</v>
      </c>
    </row>
    <row r="20" spans="1:6" hidden="1" x14ac:dyDescent="0.2">
      <c r="A20" t="s">
        <v>36</v>
      </c>
      <c r="B20" t="s">
        <v>38</v>
      </c>
      <c r="C20" t="s">
        <v>13</v>
      </c>
      <c r="D20" t="s">
        <v>37</v>
      </c>
      <c r="E20" t="s">
        <v>23</v>
      </c>
      <c r="F20" t="s">
        <v>24</v>
      </c>
    </row>
    <row r="21" spans="1:6" hidden="1" x14ac:dyDescent="0.2">
      <c r="A21" t="s">
        <v>39</v>
      </c>
      <c r="B21" t="s">
        <v>28</v>
      </c>
      <c r="C21" t="s">
        <v>8</v>
      </c>
      <c r="D21" t="s">
        <v>40</v>
      </c>
      <c r="E21" t="s">
        <v>41</v>
      </c>
      <c r="F21" t="s">
        <v>34</v>
      </c>
    </row>
    <row r="22" spans="1:6" hidden="1" x14ac:dyDescent="0.2">
      <c r="A22" t="s">
        <v>39</v>
      </c>
      <c r="B22" t="s">
        <v>7</v>
      </c>
      <c r="C22" t="s">
        <v>13</v>
      </c>
      <c r="D22" t="s">
        <v>40</v>
      </c>
      <c r="E22" t="s">
        <v>41</v>
      </c>
      <c r="F22" t="s">
        <v>42</v>
      </c>
    </row>
    <row r="23" spans="1:6" hidden="1" x14ac:dyDescent="0.2">
      <c r="A23" t="s">
        <v>39</v>
      </c>
      <c r="B23" t="s">
        <v>43</v>
      </c>
      <c r="C23" t="s">
        <v>13</v>
      </c>
      <c r="D23" t="s">
        <v>40</v>
      </c>
      <c r="E23" t="s">
        <v>41</v>
      </c>
      <c r="F23" t="s">
        <v>42</v>
      </c>
    </row>
    <row r="24" spans="1:6" x14ac:dyDescent="0.2">
      <c r="A24" t="s">
        <v>44</v>
      </c>
      <c r="B24" t="s">
        <v>35</v>
      </c>
      <c r="C24" t="s">
        <v>13</v>
      </c>
      <c r="D24" t="s">
        <v>45</v>
      </c>
      <c r="E24" t="s">
        <v>41</v>
      </c>
      <c r="F24" t="s">
        <v>46</v>
      </c>
    </row>
    <row r="25" spans="1:6" hidden="1" x14ac:dyDescent="0.2">
      <c r="A25" t="s">
        <v>44</v>
      </c>
      <c r="B25" t="s">
        <v>47</v>
      </c>
      <c r="C25" t="s">
        <v>13</v>
      </c>
      <c r="D25" t="s">
        <v>45</v>
      </c>
      <c r="E25" t="s">
        <v>41</v>
      </c>
      <c r="F25" t="s">
        <v>46</v>
      </c>
    </row>
    <row r="26" spans="1:6" hidden="1" x14ac:dyDescent="0.2">
      <c r="A26" t="s">
        <v>44</v>
      </c>
      <c r="B26" t="s">
        <v>48</v>
      </c>
      <c r="C26" t="s">
        <v>13</v>
      </c>
      <c r="D26" t="s">
        <v>45</v>
      </c>
      <c r="E26" t="s">
        <v>41</v>
      </c>
      <c r="F26" t="s">
        <v>46</v>
      </c>
    </row>
    <row r="27" spans="1:6" hidden="1" x14ac:dyDescent="0.2">
      <c r="A27" t="s">
        <v>44</v>
      </c>
      <c r="B27" t="s">
        <v>30</v>
      </c>
      <c r="C27" t="s">
        <v>13</v>
      </c>
      <c r="D27" t="s">
        <v>45</v>
      </c>
      <c r="E27" t="s">
        <v>41</v>
      </c>
      <c r="F27" t="s">
        <v>46</v>
      </c>
    </row>
    <row r="28" spans="1:6" hidden="1" x14ac:dyDescent="0.2">
      <c r="A28" t="s">
        <v>44</v>
      </c>
      <c r="B28" t="s">
        <v>49</v>
      </c>
      <c r="C28" t="s">
        <v>13</v>
      </c>
      <c r="D28" t="s">
        <v>45</v>
      </c>
      <c r="E28" t="s">
        <v>41</v>
      </c>
      <c r="F28" t="s">
        <v>46</v>
      </c>
    </row>
    <row r="29" spans="1:6" hidden="1" x14ac:dyDescent="0.2">
      <c r="A29" t="s">
        <v>44</v>
      </c>
      <c r="B29" t="s">
        <v>50</v>
      </c>
      <c r="C29" t="s">
        <v>13</v>
      </c>
      <c r="D29" t="s">
        <v>45</v>
      </c>
      <c r="E29" t="s">
        <v>41</v>
      </c>
      <c r="F29" t="s">
        <v>46</v>
      </c>
    </row>
    <row r="30" spans="1:6" hidden="1" x14ac:dyDescent="0.2">
      <c r="A30" t="s">
        <v>51</v>
      </c>
      <c r="B30" t="s">
        <v>29</v>
      </c>
      <c r="C30" t="s">
        <v>8</v>
      </c>
      <c r="D30" t="s">
        <v>52</v>
      </c>
      <c r="E30" t="s">
        <v>41</v>
      </c>
      <c r="F30" t="s">
        <v>34</v>
      </c>
    </row>
    <row r="31" spans="1:6" hidden="1" x14ac:dyDescent="0.2">
      <c r="A31" t="s">
        <v>51</v>
      </c>
      <c r="B31" t="s">
        <v>7</v>
      </c>
      <c r="C31" t="s">
        <v>8</v>
      </c>
      <c r="D31" t="s">
        <v>52</v>
      </c>
      <c r="E31" t="s">
        <v>41</v>
      </c>
      <c r="F31" t="s">
        <v>34</v>
      </c>
    </row>
    <row r="32" spans="1:6" hidden="1" x14ac:dyDescent="0.2">
      <c r="A32" t="s">
        <v>51</v>
      </c>
      <c r="B32" t="s">
        <v>12</v>
      </c>
      <c r="C32" t="s">
        <v>13</v>
      </c>
      <c r="D32" t="s">
        <v>52</v>
      </c>
      <c r="E32" t="s">
        <v>41</v>
      </c>
      <c r="F32" t="s">
        <v>42</v>
      </c>
    </row>
    <row r="33" spans="1:6" hidden="1" x14ac:dyDescent="0.2">
      <c r="A33" t="s">
        <v>53</v>
      </c>
      <c r="B33" t="s">
        <v>20</v>
      </c>
      <c r="C33" t="s">
        <v>8</v>
      </c>
      <c r="D33" t="s">
        <v>54</v>
      </c>
      <c r="E33" t="s">
        <v>55</v>
      </c>
      <c r="F33" t="s">
        <v>46</v>
      </c>
    </row>
    <row r="34" spans="1:6" hidden="1" x14ac:dyDescent="0.2">
      <c r="A34" t="s">
        <v>53</v>
      </c>
      <c r="B34" t="s">
        <v>28</v>
      </c>
      <c r="C34" t="s">
        <v>8</v>
      </c>
      <c r="D34" t="s">
        <v>54</v>
      </c>
      <c r="E34" t="s">
        <v>55</v>
      </c>
      <c r="F34" t="s">
        <v>46</v>
      </c>
    </row>
    <row r="35" spans="1:6" hidden="1" x14ac:dyDescent="0.2">
      <c r="A35" t="s">
        <v>53</v>
      </c>
      <c r="B35" t="s">
        <v>56</v>
      </c>
      <c r="C35" t="s">
        <v>13</v>
      </c>
      <c r="D35" t="s">
        <v>54</v>
      </c>
      <c r="E35" t="s">
        <v>55</v>
      </c>
      <c r="F35" t="s">
        <v>46</v>
      </c>
    </row>
    <row r="36" spans="1:6" hidden="1" x14ac:dyDescent="0.2">
      <c r="A36" t="s">
        <v>57</v>
      </c>
      <c r="B36" t="s">
        <v>58</v>
      </c>
      <c r="C36" t="s">
        <v>13</v>
      </c>
      <c r="D36" t="s">
        <v>59</v>
      </c>
      <c r="E36" t="s">
        <v>55</v>
      </c>
      <c r="F36" t="s">
        <v>46</v>
      </c>
    </row>
    <row r="37" spans="1:6" hidden="1" x14ac:dyDescent="0.2">
      <c r="A37" t="s">
        <v>60</v>
      </c>
      <c r="B37" t="s">
        <v>7</v>
      </c>
      <c r="C37" t="s">
        <v>61</v>
      </c>
      <c r="D37" t="s">
        <v>62</v>
      </c>
      <c r="E37" t="s">
        <v>55</v>
      </c>
      <c r="F37" t="s">
        <v>63</v>
      </c>
    </row>
    <row r="38" spans="1:6" hidden="1" x14ac:dyDescent="0.2">
      <c r="A38" t="s">
        <v>60</v>
      </c>
      <c r="B38" t="s">
        <v>29</v>
      </c>
      <c r="C38" t="s">
        <v>61</v>
      </c>
      <c r="D38" t="s">
        <v>62</v>
      </c>
      <c r="E38" t="s">
        <v>55</v>
      </c>
      <c r="F38" t="s">
        <v>63</v>
      </c>
    </row>
    <row r="39" spans="1:6" hidden="1" x14ac:dyDescent="0.2">
      <c r="A39" t="s">
        <v>60</v>
      </c>
      <c r="B39" t="s">
        <v>58</v>
      </c>
      <c r="C39" t="s">
        <v>13</v>
      </c>
      <c r="D39" t="s">
        <v>62</v>
      </c>
      <c r="E39" t="s">
        <v>55</v>
      </c>
      <c r="F39" t="s">
        <v>46</v>
      </c>
    </row>
    <row r="40" spans="1:6" hidden="1" x14ac:dyDescent="0.2">
      <c r="A40" t="s">
        <v>64</v>
      </c>
      <c r="B40" t="s">
        <v>20</v>
      </c>
      <c r="C40" t="s">
        <v>65</v>
      </c>
      <c r="D40" t="s">
        <v>66</v>
      </c>
      <c r="E40" t="s">
        <v>67</v>
      </c>
      <c r="F40" t="s">
        <v>68</v>
      </c>
    </row>
    <row r="41" spans="1:6" hidden="1" x14ac:dyDescent="0.2">
      <c r="A41" t="s">
        <v>64</v>
      </c>
      <c r="B41" t="s">
        <v>30</v>
      </c>
      <c r="C41" t="s">
        <v>13</v>
      </c>
      <c r="D41" t="s">
        <v>66</v>
      </c>
      <c r="E41" t="s">
        <v>67</v>
      </c>
      <c r="F41" t="s">
        <v>69</v>
      </c>
    </row>
    <row r="42" spans="1:6" hidden="1" x14ac:dyDescent="0.2">
      <c r="A42" t="s">
        <v>64</v>
      </c>
      <c r="B42" t="s">
        <v>70</v>
      </c>
      <c r="C42" t="s">
        <v>13</v>
      </c>
      <c r="D42" t="s">
        <v>66</v>
      </c>
      <c r="E42" t="s">
        <v>67</v>
      </c>
      <c r="F42" t="s">
        <v>69</v>
      </c>
    </row>
    <row r="43" spans="1:6" hidden="1" x14ac:dyDescent="0.2">
      <c r="A43" t="s">
        <v>64</v>
      </c>
      <c r="B43" t="s">
        <v>71</v>
      </c>
      <c r="C43" t="s">
        <v>13</v>
      </c>
      <c r="D43" t="s">
        <v>66</v>
      </c>
      <c r="E43" t="s">
        <v>67</v>
      </c>
      <c r="F43" t="s">
        <v>69</v>
      </c>
    </row>
    <row r="44" spans="1:6" hidden="1" x14ac:dyDescent="0.2">
      <c r="A44" t="s">
        <v>72</v>
      </c>
      <c r="B44" t="s">
        <v>20</v>
      </c>
      <c r="C44" t="s">
        <v>8</v>
      </c>
      <c r="D44" t="s">
        <v>73</v>
      </c>
      <c r="E44" t="s">
        <v>74</v>
      </c>
      <c r="F44" t="s">
        <v>75</v>
      </c>
    </row>
    <row r="45" spans="1:6" hidden="1" x14ac:dyDescent="0.2">
      <c r="A45" t="s">
        <v>72</v>
      </c>
      <c r="B45" t="s">
        <v>76</v>
      </c>
      <c r="C45" t="s">
        <v>13</v>
      </c>
      <c r="D45" t="s">
        <v>73</v>
      </c>
      <c r="E45" t="s">
        <v>74</v>
      </c>
      <c r="F45" t="s">
        <v>75</v>
      </c>
    </row>
    <row r="46" spans="1:6" hidden="1" x14ac:dyDescent="0.2">
      <c r="A46" t="s">
        <v>77</v>
      </c>
      <c r="B46" t="s">
        <v>29</v>
      </c>
      <c r="C46" t="s">
        <v>8</v>
      </c>
      <c r="D46" t="s">
        <v>78</v>
      </c>
      <c r="E46" t="s">
        <v>74</v>
      </c>
      <c r="F46" t="s">
        <v>63</v>
      </c>
    </row>
    <row r="47" spans="1:6" hidden="1" x14ac:dyDescent="0.2">
      <c r="A47" t="s">
        <v>77</v>
      </c>
      <c r="B47" t="s">
        <v>79</v>
      </c>
      <c r="C47" t="s">
        <v>13</v>
      </c>
      <c r="D47" t="s">
        <v>78</v>
      </c>
      <c r="E47" t="s">
        <v>74</v>
      </c>
      <c r="F47" t="s">
        <v>75</v>
      </c>
    </row>
    <row r="48" spans="1:6" hidden="1" x14ac:dyDescent="0.2">
      <c r="A48" t="s">
        <v>80</v>
      </c>
      <c r="B48" t="s">
        <v>17</v>
      </c>
      <c r="C48" t="s">
        <v>13</v>
      </c>
      <c r="D48" t="s">
        <v>81</v>
      </c>
      <c r="E48" t="s">
        <v>74</v>
      </c>
      <c r="F48" t="s">
        <v>75</v>
      </c>
    </row>
    <row r="49" spans="1:6" hidden="1" x14ac:dyDescent="0.2">
      <c r="A49" t="s">
        <v>80</v>
      </c>
      <c r="B49" t="s">
        <v>32</v>
      </c>
      <c r="C49" t="s">
        <v>13</v>
      </c>
      <c r="D49" t="s">
        <v>81</v>
      </c>
      <c r="E49" t="s">
        <v>74</v>
      </c>
      <c r="F49" t="s">
        <v>75</v>
      </c>
    </row>
    <row r="50" spans="1:6" hidden="1" x14ac:dyDescent="0.2">
      <c r="A50" t="s">
        <v>82</v>
      </c>
      <c r="B50" t="s">
        <v>20</v>
      </c>
      <c r="C50" t="s">
        <v>8</v>
      </c>
      <c r="D50" t="s">
        <v>83</v>
      </c>
      <c r="E50" t="s">
        <v>84</v>
      </c>
      <c r="F50" t="s">
        <v>85</v>
      </c>
    </row>
    <row r="51" spans="1:6" hidden="1" x14ac:dyDescent="0.2">
      <c r="A51" t="s">
        <v>82</v>
      </c>
      <c r="B51" t="s">
        <v>38</v>
      </c>
      <c r="C51" t="s">
        <v>8</v>
      </c>
      <c r="D51" t="s">
        <v>83</v>
      </c>
      <c r="E51" t="s">
        <v>84</v>
      </c>
      <c r="F51" t="s">
        <v>85</v>
      </c>
    </row>
    <row r="52" spans="1:6" hidden="1" x14ac:dyDescent="0.2">
      <c r="A52" t="s">
        <v>82</v>
      </c>
      <c r="B52" t="s">
        <v>12</v>
      </c>
      <c r="C52" t="s">
        <v>13</v>
      </c>
      <c r="D52" t="s">
        <v>83</v>
      </c>
      <c r="E52" t="s">
        <v>84</v>
      </c>
      <c r="F52" t="s">
        <v>86</v>
      </c>
    </row>
    <row r="53" spans="1:6" hidden="1" x14ac:dyDescent="0.2">
      <c r="A53" t="s">
        <v>82</v>
      </c>
      <c r="B53" t="s">
        <v>30</v>
      </c>
      <c r="C53" t="s">
        <v>13</v>
      </c>
      <c r="D53" t="s">
        <v>83</v>
      </c>
      <c r="E53" t="s">
        <v>84</v>
      </c>
      <c r="F53" t="s">
        <v>86</v>
      </c>
    </row>
    <row r="54" spans="1:6" hidden="1" x14ac:dyDescent="0.2">
      <c r="A54" t="s">
        <v>87</v>
      </c>
      <c r="B54" t="s">
        <v>88</v>
      </c>
      <c r="C54" t="s">
        <v>8</v>
      </c>
      <c r="D54" t="s">
        <v>89</v>
      </c>
      <c r="E54" t="s">
        <v>84</v>
      </c>
      <c r="F54" t="s">
        <v>90</v>
      </c>
    </row>
    <row r="55" spans="1:6" hidden="1" x14ac:dyDescent="0.2">
      <c r="A55" t="s">
        <v>87</v>
      </c>
      <c r="B55" t="s">
        <v>20</v>
      </c>
      <c r="C55" t="s">
        <v>13</v>
      </c>
      <c r="D55" t="s">
        <v>89</v>
      </c>
      <c r="E55" t="s">
        <v>84</v>
      </c>
      <c r="F55" t="s">
        <v>85</v>
      </c>
    </row>
    <row r="56" spans="1:6" hidden="1" x14ac:dyDescent="0.2">
      <c r="A56" t="s">
        <v>87</v>
      </c>
      <c r="B56" t="s">
        <v>32</v>
      </c>
      <c r="C56" t="s">
        <v>13</v>
      </c>
      <c r="D56" t="s">
        <v>89</v>
      </c>
      <c r="E56" t="s">
        <v>84</v>
      </c>
      <c r="F56" t="s">
        <v>85</v>
      </c>
    </row>
    <row r="57" spans="1:6" hidden="1" x14ac:dyDescent="0.2">
      <c r="A57" t="s">
        <v>87</v>
      </c>
      <c r="B57" t="s">
        <v>49</v>
      </c>
      <c r="C57" t="s">
        <v>13</v>
      </c>
      <c r="D57" t="s">
        <v>89</v>
      </c>
      <c r="E57" t="s">
        <v>84</v>
      </c>
      <c r="F57" t="s">
        <v>85</v>
      </c>
    </row>
    <row r="58" spans="1:6" hidden="1" x14ac:dyDescent="0.2">
      <c r="A58" t="s">
        <v>87</v>
      </c>
      <c r="B58" t="s">
        <v>91</v>
      </c>
      <c r="C58" t="s">
        <v>13</v>
      </c>
      <c r="D58" t="s">
        <v>89</v>
      </c>
      <c r="E58" t="s">
        <v>84</v>
      </c>
      <c r="F58" t="s">
        <v>90</v>
      </c>
    </row>
    <row r="59" spans="1:6" hidden="1" x14ac:dyDescent="0.2">
      <c r="A59" t="s">
        <v>92</v>
      </c>
      <c r="B59" t="s">
        <v>17</v>
      </c>
      <c r="C59" t="s">
        <v>8</v>
      </c>
      <c r="D59" t="s">
        <v>93</v>
      </c>
      <c r="E59" t="s">
        <v>84</v>
      </c>
      <c r="F59" t="s">
        <v>90</v>
      </c>
    </row>
    <row r="60" spans="1:6" hidden="1" x14ac:dyDescent="0.2">
      <c r="A60" t="s">
        <v>92</v>
      </c>
      <c r="B60" t="s">
        <v>32</v>
      </c>
      <c r="C60" t="s">
        <v>8</v>
      </c>
      <c r="D60" t="s">
        <v>93</v>
      </c>
      <c r="E60" t="s">
        <v>84</v>
      </c>
      <c r="F60" t="s">
        <v>90</v>
      </c>
    </row>
    <row r="61" spans="1:6" hidden="1" x14ac:dyDescent="0.2">
      <c r="A61" t="s">
        <v>92</v>
      </c>
      <c r="B61" t="s">
        <v>7</v>
      </c>
      <c r="C61" t="s">
        <v>13</v>
      </c>
      <c r="D61" t="s">
        <v>93</v>
      </c>
      <c r="E61" t="s">
        <v>84</v>
      </c>
      <c r="F61" t="s">
        <v>85</v>
      </c>
    </row>
    <row r="62" spans="1:6" hidden="1" x14ac:dyDescent="0.2">
      <c r="A62" t="s">
        <v>92</v>
      </c>
      <c r="B62" t="s">
        <v>49</v>
      </c>
      <c r="C62" t="s">
        <v>13</v>
      </c>
      <c r="D62" t="s">
        <v>93</v>
      </c>
      <c r="E62" t="s">
        <v>84</v>
      </c>
      <c r="F62" t="s">
        <v>85</v>
      </c>
    </row>
    <row r="63" spans="1:6" hidden="1" x14ac:dyDescent="0.2">
      <c r="A63" t="s">
        <v>94</v>
      </c>
      <c r="B63" t="s">
        <v>95</v>
      </c>
      <c r="C63" t="s">
        <v>13</v>
      </c>
      <c r="D63" t="s">
        <v>96</v>
      </c>
      <c r="E63" t="s">
        <v>84</v>
      </c>
      <c r="F63" t="s">
        <v>85</v>
      </c>
    </row>
    <row r="64" spans="1:6" hidden="1" x14ac:dyDescent="0.2">
      <c r="A64" t="s">
        <v>94</v>
      </c>
      <c r="B64" t="s">
        <v>76</v>
      </c>
      <c r="C64" t="s">
        <v>8</v>
      </c>
      <c r="D64" t="s">
        <v>96</v>
      </c>
      <c r="E64" t="s">
        <v>84</v>
      </c>
      <c r="F64" t="s">
        <v>85</v>
      </c>
    </row>
    <row r="65" spans="1:6" hidden="1" x14ac:dyDescent="0.2">
      <c r="A65" t="s">
        <v>94</v>
      </c>
      <c r="B65" t="s">
        <v>30</v>
      </c>
      <c r="C65" t="s">
        <v>8</v>
      </c>
      <c r="D65" t="s">
        <v>96</v>
      </c>
      <c r="E65" t="s">
        <v>84</v>
      </c>
      <c r="F65" t="s">
        <v>85</v>
      </c>
    </row>
    <row r="66" spans="1:6" hidden="1" x14ac:dyDescent="0.2">
      <c r="A66" t="s">
        <v>97</v>
      </c>
      <c r="B66" t="s">
        <v>7</v>
      </c>
      <c r="C66" t="s">
        <v>13</v>
      </c>
      <c r="D66" t="s">
        <v>98</v>
      </c>
      <c r="E66" t="s">
        <v>99</v>
      </c>
      <c r="F66" t="s">
        <v>86</v>
      </c>
    </row>
    <row r="67" spans="1:6" hidden="1" x14ac:dyDescent="0.2">
      <c r="A67" t="s">
        <v>97</v>
      </c>
      <c r="B67" t="s">
        <v>100</v>
      </c>
      <c r="C67" t="s">
        <v>13</v>
      </c>
      <c r="D67" t="s">
        <v>98</v>
      </c>
      <c r="E67" t="s">
        <v>99</v>
      </c>
      <c r="F67" t="s">
        <v>86</v>
      </c>
    </row>
    <row r="68" spans="1:6" hidden="1" x14ac:dyDescent="0.2">
      <c r="A68" t="s">
        <v>101</v>
      </c>
      <c r="B68" t="s">
        <v>20</v>
      </c>
      <c r="C68" t="s">
        <v>65</v>
      </c>
      <c r="D68" t="s">
        <v>102</v>
      </c>
      <c r="E68" t="s">
        <v>103</v>
      </c>
      <c r="F68" t="s">
        <v>104</v>
      </c>
    </row>
    <row r="69" spans="1:6" hidden="1" x14ac:dyDescent="0.2">
      <c r="A69" t="s">
        <v>105</v>
      </c>
      <c r="B69" t="s">
        <v>7</v>
      </c>
      <c r="C69" t="s">
        <v>13</v>
      </c>
      <c r="D69" t="s">
        <v>106</v>
      </c>
      <c r="E69" t="s">
        <v>103</v>
      </c>
      <c r="F69" t="s">
        <v>104</v>
      </c>
    </row>
    <row r="70" spans="1:6" hidden="1" x14ac:dyDescent="0.2">
      <c r="A70" t="s">
        <v>107</v>
      </c>
      <c r="B70" t="s">
        <v>20</v>
      </c>
      <c r="C70" t="s">
        <v>13</v>
      </c>
      <c r="D70" t="s">
        <v>108</v>
      </c>
      <c r="E70" t="s">
        <v>103</v>
      </c>
      <c r="F70" t="s">
        <v>104</v>
      </c>
    </row>
    <row r="71" spans="1:6" hidden="1" x14ac:dyDescent="0.2">
      <c r="A71" t="s">
        <v>107</v>
      </c>
      <c r="B71" t="s">
        <v>26</v>
      </c>
      <c r="C71" t="s">
        <v>13</v>
      </c>
      <c r="D71" t="s">
        <v>108</v>
      </c>
      <c r="E71" t="s">
        <v>103</v>
      </c>
      <c r="F71" t="s">
        <v>104</v>
      </c>
    </row>
    <row r="72" spans="1:6" hidden="1" x14ac:dyDescent="0.2">
      <c r="A72" t="s">
        <v>107</v>
      </c>
      <c r="B72" t="s">
        <v>32</v>
      </c>
      <c r="C72" t="s">
        <v>13</v>
      </c>
      <c r="D72" t="s">
        <v>108</v>
      </c>
      <c r="E72" t="s">
        <v>103</v>
      </c>
      <c r="F72" t="s">
        <v>104</v>
      </c>
    </row>
    <row r="73" spans="1:6" hidden="1" x14ac:dyDescent="0.2">
      <c r="A73" t="s">
        <v>109</v>
      </c>
      <c r="B73" t="s">
        <v>110</v>
      </c>
      <c r="C73" t="s">
        <v>13</v>
      </c>
      <c r="D73" t="s">
        <v>111</v>
      </c>
      <c r="E73" t="s">
        <v>103</v>
      </c>
      <c r="F73" t="s">
        <v>104</v>
      </c>
    </row>
    <row r="74" spans="1:6" x14ac:dyDescent="0.2">
      <c r="A74" t="s">
        <v>109</v>
      </c>
      <c r="B74" t="s">
        <v>35</v>
      </c>
      <c r="C74" t="s">
        <v>13</v>
      </c>
      <c r="D74" t="s">
        <v>111</v>
      </c>
      <c r="E74" t="s">
        <v>103</v>
      </c>
      <c r="F74" t="s">
        <v>104</v>
      </c>
    </row>
    <row r="75" spans="1:6" hidden="1" x14ac:dyDescent="0.2">
      <c r="A75" t="s">
        <v>112</v>
      </c>
      <c r="B75" t="s">
        <v>30</v>
      </c>
      <c r="C75" t="s">
        <v>13</v>
      </c>
      <c r="D75" t="s">
        <v>113</v>
      </c>
      <c r="E75" t="s">
        <v>103</v>
      </c>
      <c r="F75" t="s">
        <v>104</v>
      </c>
    </row>
    <row r="76" spans="1:6" hidden="1" x14ac:dyDescent="0.2">
      <c r="A76" t="s">
        <v>112</v>
      </c>
      <c r="B76" t="s">
        <v>50</v>
      </c>
      <c r="C76" t="s">
        <v>13</v>
      </c>
      <c r="D76" t="s">
        <v>113</v>
      </c>
      <c r="E76" t="s">
        <v>103</v>
      </c>
      <c r="F76" t="s">
        <v>104</v>
      </c>
    </row>
    <row r="77" spans="1:6" x14ac:dyDescent="0.2">
      <c r="A77" t="s">
        <v>112</v>
      </c>
      <c r="B77" t="s">
        <v>35</v>
      </c>
      <c r="C77" t="s">
        <v>13</v>
      </c>
      <c r="D77" t="s">
        <v>113</v>
      </c>
      <c r="E77" t="s">
        <v>103</v>
      </c>
      <c r="F77" t="s">
        <v>104</v>
      </c>
    </row>
    <row r="78" spans="1:6" x14ac:dyDescent="0.2">
      <c r="A78" t="s">
        <v>114</v>
      </c>
      <c r="B78" t="s">
        <v>35</v>
      </c>
      <c r="C78" t="s">
        <v>61</v>
      </c>
      <c r="D78" t="s">
        <v>115</v>
      </c>
      <c r="E78" t="s">
        <v>103</v>
      </c>
      <c r="F78" t="s">
        <v>104</v>
      </c>
    </row>
    <row r="79" spans="1:6" hidden="1" x14ac:dyDescent="0.2">
      <c r="A79" t="s">
        <v>116</v>
      </c>
      <c r="B79" t="s">
        <v>7</v>
      </c>
      <c r="C79" t="s">
        <v>13</v>
      </c>
      <c r="D79" t="s">
        <v>117</v>
      </c>
      <c r="E79" t="s">
        <v>103</v>
      </c>
      <c r="F79" t="s">
        <v>104</v>
      </c>
    </row>
    <row r="80" spans="1:6" hidden="1" x14ac:dyDescent="0.2">
      <c r="A80" t="s">
        <v>116</v>
      </c>
      <c r="B80" t="s">
        <v>12</v>
      </c>
      <c r="C80" t="s">
        <v>13</v>
      </c>
      <c r="D80" t="s">
        <v>117</v>
      </c>
      <c r="E80" t="s">
        <v>103</v>
      </c>
      <c r="F80" t="s">
        <v>104</v>
      </c>
    </row>
    <row r="81" spans="1:6" hidden="1" x14ac:dyDescent="0.2">
      <c r="A81" t="s">
        <v>118</v>
      </c>
      <c r="B81" t="s">
        <v>20</v>
      </c>
      <c r="C81" t="s">
        <v>13</v>
      </c>
      <c r="D81" t="s">
        <v>119</v>
      </c>
      <c r="E81" t="s">
        <v>103</v>
      </c>
      <c r="F81" t="s">
        <v>104</v>
      </c>
    </row>
    <row r="82" spans="1:6" hidden="1" x14ac:dyDescent="0.2">
      <c r="A82" t="s">
        <v>118</v>
      </c>
      <c r="B82" t="s">
        <v>88</v>
      </c>
      <c r="C82" t="s">
        <v>13</v>
      </c>
      <c r="D82" t="s">
        <v>119</v>
      </c>
      <c r="E82" t="s">
        <v>103</v>
      </c>
      <c r="F82" t="s">
        <v>104</v>
      </c>
    </row>
    <row r="83" spans="1:6" hidden="1" x14ac:dyDescent="0.2">
      <c r="A83" t="s">
        <v>120</v>
      </c>
      <c r="B83" t="s">
        <v>58</v>
      </c>
      <c r="C83" t="s">
        <v>13</v>
      </c>
      <c r="D83" t="s">
        <v>121</v>
      </c>
      <c r="E83" t="s">
        <v>103</v>
      </c>
      <c r="F83" t="s">
        <v>122</v>
      </c>
    </row>
    <row r="84" spans="1:6" hidden="1" x14ac:dyDescent="0.2">
      <c r="A84" t="s">
        <v>120</v>
      </c>
      <c r="B84" t="s">
        <v>17</v>
      </c>
      <c r="C84" t="s">
        <v>13</v>
      </c>
      <c r="D84" t="s">
        <v>121</v>
      </c>
      <c r="E84" t="s">
        <v>103</v>
      </c>
      <c r="F84" t="s">
        <v>122</v>
      </c>
    </row>
    <row r="85" spans="1:6" hidden="1" x14ac:dyDescent="0.2">
      <c r="A85" t="s">
        <v>120</v>
      </c>
      <c r="B85" t="s">
        <v>123</v>
      </c>
      <c r="C85" t="s">
        <v>13</v>
      </c>
      <c r="D85" t="s">
        <v>121</v>
      </c>
      <c r="E85" t="s">
        <v>103</v>
      </c>
      <c r="F85" t="s">
        <v>104</v>
      </c>
    </row>
    <row r="86" spans="1:6" hidden="1" x14ac:dyDescent="0.2">
      <c r="A86" t="s">
        <v>124</v>
      </c>
      <c r="B86" t="s">
        <v>30</v>
      </c>
      <c r="C86" t="s">
        <v>13</v>
      </c>
      <c r="D86" t="s">
        <v>125</v>
      </c>
      <c r="E86" t="s">
        <v>103</v>
      </c>
      <c r="F86" t="s">
        <v>104</v>
      </c>
    </row>
    <row r="87" spans="1:6" hidden="1" x14ac:dyDescent="0.2">
      <c r="A87" t="s">
        <v>126</v>
      </c>
      <c r="B87" t="s">
        <v>7</v>
      </c>
      <c r="C87" t="s">
        <v>13</v>
      </c>
      <c r="D87" t="s">
        <v>127</v>
      </c>
      <c r="E87" t="s">
        <v>103</v>
      </c>
      <c r="F87" t="s">
        <v>104</v>
      </c>
    </row>
    <row r="88" spans="1:6" hidden="1" x14ac:dyDescent="0.2">
      <c r="A88" t="s">
        <v>128</v>
      </c>
      <c r="B88" t="s">
        <v>48</v>
      </c>
      <c r="C88" t="s">
        <v>13</v>
      </c>
      <c r="D88" t="s">
        <v>129</v>
      </c>
      <c r="E88" t="s">
        <v>103</v>
      </c>
      <c r="F88" t="s">
        <v>104</v>
      </c>
    </row>
    <row r="89" spans="1:6" hidden="1" x14ac:dyDescent="0.2">
      <c r="A89" t="s">
        <v>128</v>
      </c>
      <c r="B89" t="s">
        <v>7</v>
      </c>
      <c r="C89" t="s">
        <v>13</v>
      </c>
      <c r="D89" t="s">
        <v>129</v>
      </c>
      <c r="E89" t="s">
        <v>103</v>
      </c>
      <c r="F89" t="s">
        <v>104</v>
      </c>
    </row>
    <row r="90" spans="1:6" hidden="1" x14ac:dyDescent="0.2">
      <c r="A90" t="s">
        <v>130</v>
      </c>
      <c r="B90" t="s">
        <v>30</v>
      </c>
      <c r="C90" t="s">
        <v>13</v>
      </c>
      <c r="D90" t="s">
        <v>131</v>
      </c>
      <c r="E90" t="s">
        <v>132</v>
      </c>
      <c r="F90" t="s">
        <v>133</v>
      </c>
    </row>
    <row r="91" spans="1:6" hidden="1" x14ac:dyDescent="0.2">
      <c r="A91" t="s">
        <v>130</v>
      </c>
      <c r="B91" t="s">
        <v>50</v>
      </c>
      <c r="C91" t="s">
        <v>13</v>
      </c>
      <c r="D91" t="s">
        <v>131</v>
      </c>
      <c r="E91" t="s">
        <v>132</v>
      </c>
      <c r="F91" t="s">
        <v>133</v>
      </c>
    </row>
    <row r="92" spans="1:6" hidden="1" x14ac:dyDescent="0.2">
      <c r="A92" t="s">
        <v>134</v>
      </c>
      <c r="B92" t="s">
        <v>30</v>
      </c>
      <c r="C92" t="s">
        <v>13</v>
      </c>
      <c r="D92" t="s">
        <v>135</v>
      </c>
      <c r="E92" t="s">
        <v>132</v>
      </c>
      <c r="F92" t="s">
        <v>133</v>
      </c>
    </row>
    <row r="93" spans="1:6" hidden="1" x14ac:dyDescent="0.2">
      <c r="A93" t="s">
        <v>136</v>
      </c>
      <c r="B93" t="s">
        <v>137</v>
      </c>
      <c r="C93" t="s">
        <v>65</v>
      </c>
      <c r="D93" t="s">
        <v>138</v>
      </c>
      <c r="E93" t="s">
        <v>132</v>
      </c>
      <c r="F93" t="s">
        <v>133</v>
      </c>
    </row>
    <row r="94" spans="1:6" hidden="1" x14ac:dyDescent="0.2">
      <c r="A94" t="s">
        <v>139</v>
      </c>
      <c r="B94" t="s">
        <v>110</v>
      </c>
      <c r="C94" t="s">
        <v>13</v>
      </c>
      <c r="D94" t="s">
        <v>140</v>
      </c>
      <c r="E94" t="s">
        <v>141</v>
      </c>
      <c r="F94" t="s">
        <v>11</v>
      </c>
    </row>
    <row r="95" spans="1:6" hidden="1" x14ac:dyDescent="0.2">
      <c r="A95" t="s">
        <v>139</v>
      </c>
      <c r="B95" t="s">
        <v>142</v>
      </c>
      <c r="C95" t="s">
        <v>13</v>
      </c>
      <c r="D95" t="s">
        <v>140</v>
      </c>
      <c r="E95" t="s">
        <v>141</v>
      </c>
      <c r="F95" t="s">
        <v>11</v>
      </c>
    </row>
    <row r="96" spans="1:6" hidden="1" x14ac:dyDescent="0.2">
      <c r="A96" t="s">
        <v>143</v>
      </c>
      <c r="B96" t="s">
        <v>20</v>
      </c>
      <c r="C96" t="s">
        <v>13</v>
      </c>
      <c r="D96" t="s">
        <v>144</v>
      </c>
      <c r="E96" t="s">
        <v>141</v>
      </c>
      <c r="F96" t="s">
        <v>11</v>
      </c>
    </row>
    <row r="97" spans="1:6" hidden="1" x14ac:dyDescent="0.2">
      <c r="A97" t="s">
        <v>143</v>
      </c>
      <c r="B97" t="s">
        <v>12</v>
      </c>
      <c r="C97" t="s">
        <v>13</v>
      </c>
      <c r="D97" t="s">
        <v>144</v>
      </c>
      <c r="E97" t="s">
        <v>141</v>
      </c>
      <c r="F97" t="s">
        <v>11</v>
      </c>
    </row>
    <row r="98" spans="1:6" hidden="1" x14ac:dyDescent="0.2">
      <c r="A98" t="s">
        <v>145</v>
      </c>
      <c r="B98" t="s">
        <v>7</v>
      </c>
      <c r="C98" t="s">
        <v>65</v>
      </c>
      <c r="D98" t="s">
        <v>146</v>
      </c>
      <c r="E98" t="s">
        <v>141</v>
      </c>
      <c r="F98" t="s">
        <v>11</v>
      </c>
    </row>
    <row r="99" spans="1:6" hidden="1" x14ac:dyDescent="0.2">
      <c r="A99" t="s">
        <v>145</v>
      </c>
      <c r="B99" t="s">
        <v>100</v>
      </c>
      <c r="C99" t="s">
        <v>13</v>
      </c>
      <c r="D99" t="s">
        <v>146</v>
      </c>
      <c r="E99" t="s">
        <v>141</v>
      </c>
      <c r="F99" t="s">
        <v>11</v>
      </c>
    </row>
    <row r="100" spans="1:6" hidden="1" x14ac:dyDescent="0.2">
      <c r="A100" t="s">
        <v>145</v>
      </c>
      <c r="B100" t="s">
        <v>147</v>
      </c>
      <c r="C100" t="s">
        <v>13</v>
      </c>
      <c r="D100" t="s">
        <v>146</v>
      </c>
      <c r="E100" t="s">
        <v>141</v>
      </c>
      <c r="F100" t="s">
        <v>11</v>
      </c>
    </row>
    <row r="101" spans="1:6" x14ac:dyDescent="0.2">
      <c r="A101" t="s">
        <v>145</v>
      </c>
      <c r="B101" t="s">
        <v>35</v>
      </c>
      <c r="C101" t="s">
        <v>13</v>
      </c>
      <c r="D101" t="s">
        <v>146</v>
      </c>
      <c r="E101" t="s">
        <v>141</v>
      </c>
      <c r="F101" t="s">
        <v>11</v>
      </c>
    </row>
    <row r="102" spans="1:6" hidden="1" x14ac:dyDescent="0.2">
      <c r="A102" t="s">
        <v>148</v>
      </c>
      <c r="B102" t="s">
        <v>149</v>
      </c>
      <c r="C102" t="s">
        <v>13</v>
      </c>
      <c r="D102" t="s">
        <v>150</v>
      </c>
      <c r="E102" t="s">
        <v>141</v>
      </c>
      <c r="F102" t="s">
        <v>11</v>
      </c>
    </row>
    <row r="103" spans="1:6" hidden="1" x14ac:dyDescent="0.2">
      <c r="A103" t="s">
        <v>148</v>
      </c>
      <c r="B103" t="s">
        <v>50</v>
      </c>
      <c r="C103" t="s">
        <v>13</v>
      </c>
      <c r="D103" t="s">
        <v>150</v>
      </c>
      <c r="E103" t="s">
        <v>141</v>
      </c>
      <c r="F103" t="s">
        <v>11</v>
      </c>
    </row>
    <row r="104" spans="1:6" hidden="1" x14ac:dyDescent="0.2">
      <c r="A104" t="s">
        <v>151</v>
      </c>
      <c r="B104" t="s">
        <v>71</v>
      </c>
      <c r="C104" t="s">
        <v>152</v>
      </c>
      <c r="D104" t="s">
        <v>153</v>
      </c>
      <c r="E104" t="s">
        <v>141</v>
      </c>
      <c r="F104" t="s">
        <v>11</v>
      </c>
    </row>
    <row r="105" spans="1:6" hidden="1" x14ac:dyDescent="0.2">
      <c r="A105" t="s">
        <v>154</v>
      </c>
      <c r="B105" t="s">
        <v>20</v>
      </c>
      <c r="C105" t="s">
        <v>13</v>
      </c>
      <c r="D105" t="s">
        <v>155</v>
      </c>
      <c r="E105" t="s">
        <v>141</v>
      </c>
      <c r="F105" t="s">
        <v>11</v>
      </c>
    </row>
    <row r="106" spans="1:6" hidden="1" x14ac:dyDescent="0.2">
      <c r="A106" t="s">
        <v>154</v>
      </c>
      <c r="B106" t="s">
        <v>56</v>
      </c>
      <c r="C106" t="s">
        <v>13</v>
      </c>
      <c r="D106" t="s">
        <v>155</v>
      </c>
      <c r="E106" t="s">
        <v>141</v>
      </c>
      <c r="F106" t="s">
        <v>11</v>
      </c>
    </row>
    <row r="107" spans="1:6" hidden="1" x14ac:dyDescent="0.2">
      <c r="A107" t="s">
        <v>156</v>
      </c>
      <c r="B107" t="s">
        <v>20</v>
      </c>
      <c r="C107" t="s">
        <v>13</v>
      </c>
      <c r="D107" t="s">
        <v>157</v>
      </c>
      <c r="E107" t="s">
        <v>141</v>
      </c>
      <c r="F107" t="s">
        <v>11</v>
      </c>
    </row>
    <row r="108" spans="1:6" hidden="1" x14ac:dyDescent="0.2">
      <c r="A108" t="s">
        <v>156</v>
      </c>
      <c r="B108" t="s">
        <v>158</v>
      </c>
      <c r="C108" t="s">
        <v>13</v>
      </c>
      <c r="D108" t="s">
        <v>157</v>
      </c>
      <c r="E108" t="s">
        <v>141</v>
      </c>
      <c r="F108" t="s">
        <v>11</v>
      </c>
    </row>
    <row r="109" spans="1:6" hidden="1" x14ac:dyDescent="0.2">
      <c r="A109" t="s">
        <v>156</v>
      </c>
      <c r="B109" t="s">
        <v>38</v>
      </c>
      <c r="C109" t="s">
        <v>13</v>
      </c>
      <c r="D109" t="s">
        <v>157</v>
      </c>
      <c r="E109" t="s">
        <v>141</v>
      </c>
      <c r="F109" t="s">
        <v>11</v>
      </c>
    </row>
    <row r="110" spans="1:6" hidden="1" x14ac:dyDescent="0.2">
      <c r="A110" t="s">
        <v>159</v>
      </c>
      <c r="B110" t="s">
        <v>20</v>
      </c>
      <c r="C110" t="s">
        <v>152</v>
      </c>
      <c r="D110" t="s">
        <v>160</v>
      </c>
      <c r="E110" t="s">
        <v>141</v>
      </c>
      <c r="F110" t="s">
        <v>11</v>
      </c>
    </row>
    <row r="111" spans="1:6" hidden="1" x14ac:dyDescent="0.2">
      <c r="A111" t="s">
        <v>161</v>
      </c>
      <c r="B111" t="s">
        <v>28</v>
      </c>
      <c r="C111" t="s">
        <v>13</v>
      </c>
      <c r="D111" t="s">
        <v>162</v>
      </c>
      <c r="E111" t="s">
        <v>141</v>
      </c>
      <c r="F111" t="s">
        <v>11</v>
      </c>
    </row>
    <row r="112" spans="1:6" hidden="1" x14ac:dyDescent="0.2">
      <c r="A112" t="s">
        <v>161</v>
      </c>
      <c r="B112" t="s">
        <v>7</v>
      </c>
      <c r="C112" t="s">
        <v>13</v>
      </c>
      <c r="D112" t="s">
        <v>162</v>
      </c>
      <c r="E112" t="s">
        <v>141</v>
      </c>
      <c r="F112" t="s">
        <v>11</v>
      </c>
    </row>
    <row r="113" spans="1:6" hidden="1" x14ac:dyDescent="0.2">
      <c r="A113" t="s">
        <v>163</v>
      </c>
      <c r="B113" t="s">
        <v>7</v>
      </c>
      <c r="C113" t="s">
        <v>13</v>
      </c>
      <c r="D113" t="s">
        <v>164</v>
      </c>
      <c r="E113" t="s">
        <v>141</v>
      </c>
      <c r="F113" t="s">
        <v>90</v>
      </c>
    </row>
    <row r="114" spans="1:6" hidden="1" x14ac:dyDescent="0.2">
      <c r="A114" t="s">
        <v>163</v>
      </c>
      <c r="B114" t="s">
        <v>17</v>
      </c>
      <c r="C114" t="s">
        <v>13</v>
      </c>
      <c r="D114" t="s">
        <v>164</v>
      </c>
      <c r="E114" t="s">
        <v>141</v>
      </c>
      <c r="F114" t="s">
        <v>11</v>
      </c>
    </row>
    <row r="115" spans="1:6" hidden="1" x14ac:dyDescent="0.2">
      <c r="A115" t="s">
        <v>163</v>
      </c>
      <c r="B115" t="s">
        <v>50</v>
      </c>
      <c r="C115" t="s">
        <v>13</v>
      </c>
      <c r="D115" t="s">
        <v>164</v>
      </c>
      <c r="E115" t="s">
        <v>141</v>
      </c>
      <c r="F115" t="s">
        <v>11</v>
      </c>
    </row>
    <row r="116" spans="1:6" hidden="1" x14ac:dyDescent="0.2">
      <c r="A116" t="s">
        <v>163</v>
      </c>
      <c r="B116" t="s">
        <v>165</v>
      </c>
      <c r="C116" t="s">
        <v>13</v>
      </c>
      <c r="D116" t="s">
        <v>164</v>
      </c>
      <c r="E116" t="s">
        <v>141</v>
      </c>
      <c r="F116" t="s">
        <v>11</v>
      </c>
    </row>
    <row r="117" spans="1:6" hidden="1" x14ac:dyDescent="0.2">
      <c r="A117" t="s">
        <v>163</v>
      </c>
      <c r="B117" t="s">
        <v>71</v>
      </c>
      <c r="C117" t="s">
        <v>13</v>
      </c>
      <c r="D117" t="s">
        <v>164</v>
      </c>
      <c r="E117" t="s">
        <v>141</v>
      </c>
      <c r="F117" t="s">
        <v>11</v>
      </c>
    </row>
    <row r="118" spans="1:6" hidden="1" x14ac:dyDescent="0.2">
      <c r="A118" t="s">
        <v>166</v>
      </c>
      <c r="B118" t="s">
        <v>12</v>
      </c>
      <c r="C118" t="s">
        <v>13</v>
      </c>
      <c r="D118" t="s">
        <v>167</v>
      </c>
      <c r="E118" t="s">
        <v>141</v>
      </c>
      <c r="F118" t="s">
        <v>11</v>
      </c>
    </row>
    <row r="119" spans="1:6" hidden="1" x14ac:dyDescent="0.2">
      <c r="A119" t="s">
        <v>166</v>
      </c>
      <c r="B119" t="s">
        <v>7</v>
      </c>
      <c r="C119" t="s">
        <v>13</v>
      </c>
      <c r="D119" t="s">
        <v>167</v>
      </c>
      <c r="E119" t="s">
        <v>141</v>
      </c>
      <c r="F119" t="s">
        <v>11</v>
      </c>
    </row>
    <row r="120" spans="1:6" hidden="1" x14ac:dyDescent="0.2">
      <c r="A120" t="s">
        <v>168</v>
      </c>
      <c r="B120" t="s">
        <v>147</v>
      </c>
      <c r="C120" t="s">
        <v>13</v>
      </c>
      <c r="D120" t="s">
        <v>169</v>
      </c>
      <c r="E120" t="s">
        <v>141</v>
      </c>
      <c r="F120" t="s">
        <v>11</v>
      </c>
    </row>
    <row r="121" spans="1:6" hidden="1" x14ac:dyDescent="0.2">
      <c r="A121" t="s">
        <v>168</v>
      </c>
      <c r="B121" t="s">
        <v>170</v>
      </c>
      <c r="C121" t="s">
        <v>13</v>
      </c>
      <c r="D121" t="s">
        <v>169</v>
      </c>
      <c r="E121" t="s">
        <v>141</v>
      </c>
      <c r="F121" t="s">
        <v>11</v>
      </c>
    </row>
    <row r="122" spans="1:6" hidden="1" x14ac:dyDescent="0.2">
      <c r="A122" t="s">
        <v>171</v>
      </c>
      <c r="B122" t="s">
        <v>12</v>
      </c>
      <c r="C122" t="s">
        <v>13</v>
      </c>
      <c r="D122" t="s">
        <v>172</v>
      </c>
      <c r="E122" t="s">
        <v>173</v>
      </c>
      <c r="F122" t="s">
        <v>174</v>
      </c>
    </row>
    <row r="123" spans="1:6" hidden="1" x14ac:dyDescent="0.2">
      <c r="A123" t="s">
        <v>171</v>
      </c>
      <c r="B123" t="s">
        <v>158</v>
      </c>
      <c r="C123" t="s">
        <v>13</v>
      </c>
      <c r="D123" t="s">
        <v>172</v>
      </c>
      <c r="E123" t="s">
        <v>173</v>
      </c>
      <c r="F123" t="s">
        <v>174</v>
      </c>
    </row>
    <row r="124" spans="1:6" hidden="1" x14ac:dyDescent="0.2">
      <c r="A124" t="s">
        <v>171</v>
      </c>
      <c r="B124" t="s">
        <v>7</v>
      </c>
      <c r="C124" t="s">
        <v>13</v>
      </c>
      <c r="D124" t="s">
        <v>172</v>
      </c>
      <c r="E124" t="s">
        <v>173</v>
      </c>
      <c r="F124" t="s">
        <v>34</v>
      </c>
    </row>
    <row r="125" spans="1:6" hidden="1" x14ac:dyDescent="0.2">
      <c r="A125" t="s">
        <v>175</v>
      </c>
      <c r="B125" t="s">
        <v>7</v>
      </c>
      <c r="C125" t="s">
        <v>13</v>
      </c>
      <c r="D125" t="s">
        <v>176</v>
      </c>
      <c r="E125" t="s">
        <v>173</v>
      </c>
      <c r="F125" t="s">
        <v>34</v>
      </c>
    </row>
    <row r="126" spans="1:6" hidden="1" x14ac:dyDescent="0.2">
      <c r="A126" t="s">
        <v>177</v>
      </c>
      <c r="B126" t="s">
        <v>7</v>
      </c>
      <c r="C126" t="s">
        <v>8</v>
      </c>
      <c r="D126" t="s">
        <v>178</v>
      </c>
      <c r="E126" t="s">
        <v>173</v>
      </c>
      <c r="F126" t="s">
        <v>174</v>
      </c>
    </row>
    <row r="127" spans="1:6" hidden="1" x14ac:dyDescent="0.2">
      <c r="A127" t="s">
        <v>177</v>
      </c>
      <c r="B127" t="s">
        <v>88</v>
      </c>
      <c r="C127" t="s">
        <v>8</v>
      </c>
      <c r="D127" t="s">
        <v>178</v>
      </c>
      <c r="E127" t="s">
        <v>173</v>
      </c>
      <c r="F127" t="s">
        <v>174</v>
      </c>
    </row>
    <row r="128" spans="1:6" hidden="1" x14ac:dyDescent="0.2">
      <c r="A128" t="s">
        <v>177</v>
      </c>
      <c r="B128" t="s">
        <v>38</v>
      </c>
      <c r="C128" t="s">
        <v>13</v>
      </c>
      <c r="D128" t="s">
        <v>178</v>
      </c>
      <c r="E128" t="s">
        <v>173</v>
      </c>
      <c r="F128" t="s">
        <v>34</v>
      </c>
    </row>
    <row r="129" spans="1:6" hidden="1" x14ac:dyDescent="0.2">
      <c r="A129" t="s">
        <v>177</v>
      </c>
      <c r="B129" t="s">
        <v>30</v>
      </c>
      <c r="C129" t="s">
        <v>13</v>
      </c>
      <c r="D129" t="s">
        <v>178</v>
      </c>
      <c r="E129" t="s">
        <v>173</v>
      </c>
      <c r="F129" t="s">
        <v>34</v>
      </c>
    </row>
    <row r="130" spans="1:6" hidden="1" x14ac:dyDescent="0.2">
      <c r="A130" t="s">
        <v>179</v>
      </c>
      <c r="B130" t="s">
        <v>26</v>
      </c>
      <c r="C130" t="s">
        <v>13</v>
      </c>
      <c r="D130" t="s">
        <v>180</v>
      </c>
      <c r="E130" t="s">
        <v>173</v>
      </c>
      <c r="F130" t="s">
        <v>34</v>
      </c>
    </row>
    <row r="131" spans="1:6" hidden="1" x14ac:dyDescent="0.2">
      <c r="A131" t="s">
        <v>179</v>
      </c>
      <c r="B131" t="s">
        <v>20</v>
      </c>
      <c r="C131" t="s">
        <v>13</v>
      </c>
      <c r="D131" t="s">
        <v>181</v>
      </c>
      <c r="E131" t="s">
        <v>173</v>
      </c>
      <c r="F131" t="s">
        <v>34</v>
      </c>
    </row>
    <row r="132" spans="1:6" hidden="1" x14ac:dyDescent="0.2">
      <c r="A132" t="s">
        <v>182</v>
      </c>
      <c r="B132" t="s">
        <v>20</v>
      </c>
      <c r="C132" t="s">
        <v>13</v>
      </c>
      <c r="D132" t="s">
        <v>183</v>
      </c>
      <c r="E132" t="s">
        <v>184</v>
      </c>
      <c r="F132" t="s">
        <v>63</v>
      </c>
    </row>
    <row r="133" spans="1:6" hidden="1" x14ac:dyDescent="0.2">
      <c r="A133" t="s">
        <v>182</v>
      </c>
      <c r="B133" t="s">
        <v>30</v>
      </c>
      <c r="C133" t="s">
        <v>13</v>
      </c>
      <c r="D133" t="s">
        <v>183</v>
      </c>
      <c r="E133" t="s">
        <v>184</v>
      </c>
      <c r="F133" t="s">
        <v>63</v>
      </c>
    </row>
    <row r="134" spans="1:6" hidden="1" x14ac:dyDescent="0.2">
      <c r="A134" t="s">
        <v>185</v>
      </c>
      <c r="B134" t="s">
        <v>186</v>
      </c>
      <c r="C134" t="s">
        <v>13</v>
      </c>
      <c r="D134" t="s">
        <v>187</v>
      </c>
      <c r="E134" t="s">
        <v>188</v>
      </c>
      <c r="F134" t="s">
        <v>68</v>
      </c>
    </row>
    <row r="135" spans="1:6" hidden="1" x14ac:dyDescent="0.2">
      <c r="A135" t="s">
        <v>185</v>
      </c>
      <c r="B135" t="s">
        <v>110</v>
      </c>
      <c r="C135" t="s">
        <v>13</v>
      </c>
      <c r="D135" t="s">
        <v>187</v>
      </c>
      <c r="E135" t="s">
        <v>188</v>
      </c>
      <c r="F135" t="s">
        <v>68</v>
      </c>
    </row>
    <row r="136" spans="1:6" hidden="1" x14ac:dyDescent="0.2">
      <c r="A136" t="s">
        <v>189</v>
      </c>
      <c r="B136" t="s">
        <v>7</v>
      </c>
      <c r="C136" t="s">
        <v>13</v>
      </c>
      <c r="D136" t="s">
        <v>190</v>
      </c>
      <c r="E136" t="s">
        <v>191</v>
      </c>
      <c r="F136" t="s">
        <v>192</v>
      </c>
    </row>
    <row r="137" spans="1:6" hidden="1" x14ac:dyDescent="0.2">
      <c r="A137" t="s">
        <v>189</v>
      </c>
      <c r="B137" t="s">
        <v>29</v>
      </c>
      <c r="C137" t="s">
        <v>13</v>
      </c>
      <c r="D137" t="s">
        <v>190</v>
      </c>
      <c r="E137" t="s">
        <v>191</v>
      </c>
      <c r="F137" t="s">
        <v>192</v>
      </c>
    </row>
    <row r="138" spans="1:6" x14ac:dyDescent="0.2">
      <c r="A138" t="s">
        <v>193</v>
      </c>
      <c r="B138" t="s">
        <v>35</v>
      </c>
      <c r="C138" t="s">
        <v>152</v>
      </c>
      <c r="D138" t="s">
        <v>194</v>
      </c>
      <c r="E138" t="s">
        <v>195</v>
      </c>
      <c r="F138" t="s">
        <v>196</v>
      </c>
    </row>
    <row r="139" spans="1:6" hidden="1" x14ac:dyDescent="0.2">
      <c r="A139" t="s">
        <v>197</v>
      </c>
      <c r="B139" t="s">
        <v>12</v>
      </c>
      <c r="C139" t="s">
        <v>13</v>
      </c>
      <c r="D139" t="s">
        <v>198</v>
      </c>
      <c r="E139" t="s">
        <v>199</v>
      </c>
      <c r="F139" t="s">
        <v>196</v>
      </c>
    </row>
    <row r="140" spans="1:6" hidden="1" x14ac:dyDescent="0.2">
      <c r="A140" t="s">
        <v>197</v>
      </c>
      <c r="B140" t="s">
        <v>47</v>
      </c>
      <c r="C140" t="s">
        <v>13</v>
      </c>
      <c r="D140" t="s">
        <v>198</v>
      </c>
      <c r="E140" t="s">
        <v>199</v>
      </c>
      <c r="F140" t="s">
        <v>196</v>
      </c>
    </row>
    <row r="141" spans="1:6" hidden="1" x14ac:dyDescent="0.2">
      <c r="A141" t="s">
        <v>197</v>
      </c>
      <c r="B141" t="s">
        <v>110</v>
      </c>
      <c r="C141" t="s">
        <v>13</v>
      </c>
      <c r="D141" t="s">
        <v>198</v>
      </c>
      <c r="E141" t="s">
        <v>199</v>
      </c>
      <c r="F141" t="s">
        <v>196</v>
      </c>
    </row>
    <row r="142" spans="1:6" hidden="1" x14ac:dyDescent="0.2">
      <c r="A142" t="s">
        <v>200</v>
      </c>
      <c r="B142" t="s">
        <v>7</v>
      </c>
      <c r="C142" t="s">
        <v>13</v>
      </c>
      <c r="D142" t="s">
        <v>201</v>
      </c>
      <c r="E142" t="s">
        <v>199</v>
      </c>
      <c r="F142" t="s">
        <v>196</v>
      </c>
    </row>
    <row r="143" spans="1:6" hidden="1" x14ac:dyDescent="0.2">
      <c r="A143" t="s">
        <v>200</v>
      </c>
      <c r="B143" t="s">
        <v>12</v>
      </c>
      <c r="C143" t="s">
        <v>13</v>
      </c>
      <c r="D143" t="s">
        <v>201</v>
      </c>
      <c r="E143" t="s">
        <v>199</v>
      </c>
      <c r="F143" t="s">
        <v>196</v>
      </c>
    </row>
    <row r="144" spans="1:6" hidden="1" x14ac:dyDescent="0.2">
      <c r="A144" t="s">
        <v>202</v>
      </c>
      <c r="B144" t="s">
        <v>7</v>
      </c>
      <c r="C144" t="s">
        <v>8</v>
      </c>
      <c r="D144" t="s">
        <v>203</v>
      </c>
      <c r="E144" t="s">
        <v>204</v>
      </c>
      <c r="F144" t="s">
        <v>205</v>
      </c>
    </row>
    <row r="145" spans="1:6" hidden="1" x14ac:dyDescent="0.2">
      <c r="A145" t="s">
        <v>202</v>
      </c>
      <c r="B145" t="s">
        <v>58</v>
      </c>
      <c r="C145" t="s">
        <v>8</v>
      </c>
      <c r="D145" t="s">
        <v>203</v>
      </c>
      <c r="E145" t="s">
        <v>204</v>
      </c>
      <c r="F145" t="s">
        <v>205</v>
      </c>
    </row>
    <row r="146" spans="1:6" hidden="1" x14ac:dyDescent="0.2">
      <c r="A146" t="s">
        <v>202</v>
      </c>
      <c r="B146" t="s">
        <v>38</v>
      </c>
      <c r="C146" t="s">
        <v>13</v>
      </c>
      <c r="D146" t="s">
        <v>203</v>
      </c>
      <c r="E146" t="s">
        <v>204</v>
      </c>
      <c r="F146" t="s">
        <v>206</v>
      </c>
    </row>
    <row r="147" spans="1:6" hidden="1" x14ac:dyDescent="0.2">
      <c r="A147" t="s">
        <v>202</v>
      </c>
      <c r="B147" t="s">
        <v>30</v>
      </c>
      <c r="C147" t="s">
        <v>13</v>
      </c>
      <c r="D147" t="s">
        <v>203</v>
      </c>
      <c r="E147" t="s">
        <v>204</v>
      </c>
      <c r="F147" t="s">
        <v>206</v>
      </c>
    </row>
    <row r="148" spans="1:6" x14ac:dyDescent="0.2">
      <c r="A148" t="s">
        <v>207</v>
      </c>
      <c r="B148" t="s">
        <v>35</v>
      </c>
      <c r="C148" t="s">
        <v>13</v>
      </c>
      <c r="D148" t="s">
        <v>208</v>
      </c>
      <c r="E148" t="s">
        <v>204</v>
      </c>
      <c r="F148" t="s">
        <v>122</v>
      </c>
    </row>
    <row r="149" spans="1:6" hidden="1" x14ac:dyDescent="0.2">
      <c r="A149" t="s">
        <v>209</v>
      </c>
      <c r="B149" t="s">
        <v>30</v>
      </c>
      <c r="C149" t="s">
        <v>8</v>
      </c>
      <c r="D149" t="s">
        <v>210</v>
      </c>
      <c r="E149" t="s">
        <v>211</v>
      </c>
      <c r="F149" t="s">
        <v>205</v>
      </c>
    </row>
    <row r="150" spans="1:6" hidden="1" x14ac:dyDescent="0.2">
      <c r="A150" t="s">
        <v>209</v>
      </c>
      <c r="B150" t="s">
        <v>7</v>
      </c>
      <c r="C150" t="s">
        <v>13</v>
      </c>
      <c r="D150" t="s">
        <v>210</v>
      </c>
      <c r="E150" t="s">
        <v>211</v>
      </c>
      <c r="F150" t="s">
        <v>206</v>
      </c>
    </row>
    <row r="151" spans="1:6" hidden="1" x14ac:dyDescent="0.2">
      <c r="A151" t="s">
        <v>212</v>
      </c>
      <c r="B151" t="s">
        <v>58</v>
      </c>
      <c r="C151" t="s">
        <v>8</v>
      </c>
      <c r="D151" t="s">
        <v>213</v>
      </c>
      <c r="E151" t="s">
        <v>214</v>
      </c>
      <c r="F151" t="s">
        <v>206</v>
      </c>
    </row>
    <row r="152" spans="1:6" hidden="1" x14ac:dyDescent="0.2">
      <c r="A152" t="s">
        <v>215</v>
      </c>
      <c r="B152" t="s">
        <v>20</v>
      </c>
      <c r="C152" t="s">
        <v>13</v>
      </c>
      <c r="D152" t="s">
        <v>216</v>
      </c>
      <c r="E152" t="s">
        <v>214</v>
      </c>
      <c r="F152" t="s">
        <v>206</v>
      </c>
    </row>
    <row r="153" spans="1:6" hidden="1" x14ac:dyDescent="0.2">
      <c r="A153" t="s">
        <v>215</v>
      </c>
      <c r="B153" t="s">
        <v>12</v>
      </c>
      <c r="C153" t="s">
        <v>13</v>
      </c>
      <c r="D153" t="s">
        <v>216</v>
      </c>
      <c r="E153" t="s">
        <v>214</v>
      </c>
      <c r="F153" t="s">
        <v>206</v>
      </c>
    </row>
    <row r="154" spans="1:6" hidden="1" x14ac:dyDescent="0.2">
      <c r="A154" t="s">
        <v>217</v>
      </c>
      <c r="B154" t="s">
        <v>218</v>
      </c>
      <c r="C154" t="s">
        <v>13</v>
      </c>
      <c r="D154" t="s">
        <v>219</v>
      </c>
      <c r="E154" t="s">
        <v>220</v>
      </c>
      <c r="F154" t="s">
        <v>221</v>
      </c>
    </row>
    <row r="155" spans="1:6" hidden="1" x14ac:dyDescent="0.2">
      <c r="A155" t="s">
        <v>217</v>
      </c>
      <c r="B155" t="s">
        <v>222</v>
      </c>
      <c r="C155" t="s">
        <v>13</v>
      </c>
      <c r="D155" t="s">
        <v>219</v>
      </c>
      <c r="E155" t="s">
        <v>220</v>
      </c>
      <c r="F155" t="s">
        <v>223</v>
      </c>
    </row>
    <row r="156" spans="1:6" hidden="1" x14ac:dyDescent="0.2">
      <c r="A156" t="s">
        <v>224</v>
      </c>
      <c r="B156" t="s">
        <v>29</v>
      </c>
      <c r="C156" t="s">
        <v>8</v>
      </c>
      <c r="D156" t="s">
        <v>225</v>
      </c>
      <c r="E156" t="s">
        <v>220</v>
      </c>
      <c r="F156" t="s">
        <v>221</v>
      </c>
    </row>
    <row r="157" spans="1:6" hidden="1" x14ac:dyDescent="0.2">
      <c r="A157" t="s">
        <v>224</v>
      </c>
      <c r="B157" t="s">
        <v>7</v>
      </c>
      <c r="C157" t="s">
        <v>13</v>
      </c>
      <c r="D157" t="s">
        <v>225</v>
      </c>
      <c r="E157" t="s">
        <v>220</v>
      </c>
      <c r="F157" t="s">
        <v>223</v>
      </c>
    </row>
    <row r="158" spans="1:6" x14ac:dyDescent="0.2">
      <c r="A158" t="s">
        <v>224</v>
      </c>
      <c r="B158" t="s">
        <v>35</v>
      </c>
      <c r="C158" t="s">
        <v>13</v>
      </c>
      <c r="D158" t="s">
        <v>225</v>
      </c>
      <c r="E158" t="s">
        <v>220</v>
      </c>
      <c r="F158" t="s">
        <v>223</v>
      </c>
    </row>
    <row r="159" spans="1:6" hidden="1" x14ac:dyDescent="0.2">
      <c r="A159" t="s">
        <v>224</v>
      </c>
      <c r="B159" t="s">
        <v>79</v>
      </c>
      <c r="C159" t="s">
        <v>13</v>
      </c>
      <c r="D159" t="s">
        <v>225</v>
      </c>
      <c r="E159" t="s">
        <v>220</v>
      </c>
      <c r="F159" t="s">
        <v>223</v>
      </c>
    </row>
    <row r="160" spans="1:6" hidden="1" x14ac:dyDescent="0.2">
      <c r="A160" t="s">
        <v>226</v>
      </c>
      <c r="B160" t="s">
        <v>7</v>
      </c>
      <c r="C160" t="s">
        <v>8</v>
      </c>
      <c r="D160" t="s">
        <v>227</v>
      </c>
      <c r="E160" t="s">
        <v>220</v>
      </c>
      <c r="F160" t="s">
        <v>205</v>
      </c>
    </row>
    <row r="161" spans="1:6" hidden="1" x14ac:dyDescent="0.2">
      <c r="A161" t="s">
        <v>226</v>
      </c>
      <c r="B161" t="s">
        <v>12</v>
      </c>
      <c r="C161" t="s">
        <v>13</v>
      </c>
      <c r="D161" t="s">
        <v>227</v>
      </c>
      <c r="E161" t="s">
        <v>220</v>
      </c>
      <c r="F161" t="s">
        <v>223</v>
      </c>
    </row>
    <row r="162" spans="1:6" hidden="1" x14ac:dyDescent="0.2">
      <c r="A162" t="s">
        <v>226</v>
      </c>
      <c r="B162" t="s">
        <v>186</v>
      </c>
      <c r="C162" t="s">
        <v>13</v>
      </c>
      <c r="D162" t="s">
        <v>227</v>
      </c>
      <c r="E162" t="s">
        <v>220</v>
      </c>
      <c r="F162" t="s">
        <v>223</v>
      </c>
    </row>
    <row r="163" spans="1:6" hidden="1" x14ac:dyDescent="0.2">
      <c r="A163" t="s">
        <v>226</v>
      </c>
      <c r="B163" t="s">
        <v>228</v>
      </c>
      <c r="C163" t="s">
        <v>13</v>
      </c>
      <c r="D163" t="s">
        <v>227</v>
      </c>
      <c r="E163" t="s">
        <v>220</v>
      </c>
      <c r="F163" t="s">
        <v>223</v>
      </c>
    </row>
    <row r="164" spans="1:6" hidden="1" x14ac:dyDescent="0.2">
      <c r="A164" t="s">
        <v>226</v>
      </c>
      <c r="B164" t="s">
        <v>38</v>
      </c>
      <c r="C164" t="s">
        <v>13</v>
      </c>
      <c r="D164" t="s">
        <v>227</v>
      </c>
      <c r="E164" t="s">
        <v>220</v>
      </c>
      <c r="F164" t="s">
        <v>223</v>
      </c>
    </row>
    <row r="165" spans="1:6" hidden="1" x14ac:dyDescent="0.2">
      <c r="A165" t="s">
        <v>226</v>
      </c>
      <c r="B165" t="s">
        <v>218</v>
      </c>
      <c r="C165" t="s">
        <v>13</v>
      </c>
      <c r="D165" t="s">
        <v>227</v>
      </c>
      <c r="E165" t="s">
        <v>220</v>
      </c>
      <c r="F165" t="s">
        <v>223</v>
      </c>
    </row>
    <row r="166" spans="1:6" hidden="1" x14ac:dyDescent="0.2">
      <c r="A166" t="s">
        <v>229</v>
      </c>
      <c r="B166" t="s">
        <v>58</v>
      </c>
      <c r="C166" t="s">
        <v>8</v>
      </c>
      <c r="D166" t="s">
        <v>230</v>
      </c>
      <c r="E166" t="s">
        <v>220</v>
      </c>
      <c r="F166" t="s">
        <v>223</v>
      </c>
    </row>
    <row r="167" spans="1:6" hidden="1" x14ac:dyDescent="0.2">
      <c r="A167" t="s">
        <v>229</v>
      </c>
      <c r="B167" t="s">
        <v>76</v>
      </c>
      <c r="C167" t="s">
        <v>8</v>
      </c>
      <c r="D167" t="s">
        <v>230</v>
      </c>
      <c r="E167" t="s">
        <v>220</v>
      </c>
      <c r="F167" t="s">
        <v>223</v>
      </c>
    </row>
    <row r="168" spans="1:6" hidden="1" x14ac:dyDescent="0.2">
      <c r="A168" t="s">
        <v>229</v>
      </c>
      <c r="B168" t="s">
        <v>12</v>
      </c>
      <c r="C168" t="s">
        <v>8</v>
      </c>
      <c r="D168" t="s">
        <v>230</v>
      </c>
      <c r="E168" t="s">
        <v>220</v>
      </c>
      <c r="F168" t="s">
        <v>223</v>
      </c>
    </row>
    <row r="169" spans="1:6" hidden="1" x14ac:dyDescent="0.2">
      <c r="A169" t="s">
        <v>229</v>
      </c>
      <c r="B169" t="s">
        <v>95</v>
      </c>
      <c r="C169" t="s">
        <v>13</v>
      </c>
      <c r="D169" t="s">
        <v>230</v>
      </c>
      <c r="E169" t="s">
        <v>220</v>
      </c>
      <c r="F169" t="s">
        <v>223</v>
      </c>
    </row>
    <row r="170" spans="1:6" hidden="1" x14ac:dyDescent="0.2">
      <c r="A170" t="s">
        <v>229</v>
      </c>
      <c r="B170" t="s">
        <v>50</v>
      </c>
      <c r="C170" t="s">
        <v>13</v>
      </c>
      <c r="D170" t="s">
        <v>230</v>
      </c>
      <c r="E170" t="s">
        <v>220</v>
      </c>
      <c r="F170" t="s">
        <v>223</v>
      </c>
    </row>
    <row r="171" spans="1:6" hidden="1" x14ac:dyDescent="0.2">
      <c r="A171" t="s">
        <v>229</v>
      </c>
      <c r="B171" t="s">
        <v>47</v>
      </c>
      <c r="C171" t="s">
        <v>13</v>
      </c>
      <c r="D171" t="s">
        <v>230</v>
      </c>
      <c r="E171" t="s">
        <v>220</v>
      </c>
      <c r="F171" t="s">
        <v>223</v>
      </c>
    </row>
    <row r="172" spans="1:6" x14ac:dyDescent="0.2">
      <c r="A172" t="s">
        <v>229</v>
      </c>
      <c r="B172" t="s">
        <v>35</v>
      </c>
      <c r="C172" t="s">
        <v>13</v>
      </c>
      <c r="D172" t="s">
        <v>230</v>
      </c>
      <c r="E172" t="s">
        <v>220</v>
      </c>
      <c r="F172" t="s">
        <v>223</v>
      </c>
    </row>
    <row r="173" spans="1:6" hidden="1" x14ac:dyDescent="0.2">
      <c r="A173" t="s">
        <v>231</v>
      </c>
      <c r="B173" t="s">
        <v>7</v>
      </c>
      <c r="C173" t="s">
        <v>13</v>
      </c>
      <c r="D173" t="s">
        <v>232</v>
      </c>
      <c r="E173" t="s">
        <v>233</v>
      </c>
      <c r="F173" t="s">
        <v>174</v>
      </c>
    </row>
    <row r="174" spans="1:6" hidden="1" x14ac:dyDescent="0.2">
      <c r="A174" t="s">
        <v>231</v>
      </c>
      <c r="B174" t="s">
        <v>12</v>
      </c>
      <c r="C174" t="s">
        <v>13</v>
      </c>
      <c r="D174" t="s">
        <v>232</v>
      </c>
      <c r="E174" t="s">
        <v>233</v>
      </c>
      <c r="F174" t="s">
        <v>174</v>
      </c>
    </row>
    <row r="175" spans="1:6" hidden="1" x14ac:dyDescent="0.2">
      <c r="A175" t="s">
        <v>231</v>
      </c>
      <c r="B175" t="s">
        <v>50</v>
      </c>
      <c r="C175" t="s">
        <v>13</v>
      </c>
      <c r="D175" t="s">
        <v>232</v>
      </c>
      <c r="E175" t="s">
        <v>233</v>
      </c>
      <c r="F175" t="s">
        <v>174</v>
      </c>
    </row>
    <row r="176" spans="1:6" hidden="1" x14ac:dyDescent="0.2">
      <c r="A176" t="s">
        <v>234</v>
      </c>
      <c r="B176" t="s">
        <v>7</v>
      </c>
      <c r="C176" t="s">
        <v>13</v>
      </c>
      <c r="D176" t="s">
        <v>235</v>
      </c>
      <c r="E176" t="s">
        <v>233</v>
      </c>
      <c r="F176" t="s">
        <v>236</v>
      </c>
    </row>
    <row r="177" spans="1:6" hidden="1" x14ac:dyDescent="0.2">
      <c r="A177" t="s">
        <v>234</v>
      </c>
      <c r="B177" t="s">
        <v>100</v>
      </c>
      <c r="C177" t="s">
        <v>13</v>
      </c>
      <c r="D177" t="s">
        <v>235</v>
      </c>
      <c r="E177" t="s">
        <v>233</v>
      </c>
      <c r="F177" t="s">
        <v>174</v>
      </c>
    </row>
    <row r="178" spans="1:6" hidden="1" x14ac:dyDescent="0.2">
      <c r="A178" t="s">
        <v>234</v>
      </c>
      <c r="B178" t="s">
        <v>70</v>
      </c>
      <c r="C178" t="s">
        <v>13</v>
      </c>
      <c r="D178" t="s">
        <v>235</v>
      </c>
      <c r="E178" t="s">
        <v>233</v>
      </c>
      <c r="F178" t="s">
        <v>174</v>
      </c>
    </row>
    <row r="179" spans="1:6" hidden="1" x14ac:dyDescent="0.2">
      <c r="A179" t="s">
        <v>234</v>
      </c>
      <c r="B179" t="s">
        <v>95</v>
      </c>
      <c r="C179" t="s">
        <v>13</v>
      </c>
      <c r="D179" t="s">
        <v>235</v>
      </c>
      <c r="E179" t="s">
        <v>233</v>
      </c>
      <c r="F179" t="s">
        <v>174</v>
      </c>
    </row>
    <row r="180" spans="1:6" hidden="1" x14ac:dyDescent="0.2">
      <c r="A180" t="s">
        <v>237</v>
      </c>
      <c r="B180" t="s">
        <v>20</v>
      </c>
      <c r="C180" t="s">
        <v>8</v>
      </c>
      <c r="D180" t="s">
        <v>238</v>
      </c>
      <c r="E180" t="s">
        <v>239</v>
      </c>
      <c r="F180" t="s">
        <v>240</v>
      </c>
    </row>
    <row r="181" spans="1:6" hidden="1" x14ac:dyDescent="0.2">
      <c r="A181" t="s">
        <v>237</v>
      </c>
      <c r="B181" t="s">
        <v>7</v>
      </c>
      <c r="C181" t="s">
        <v>13</v>
      </c>
      <c r="D181" t="s">
        <v>238</v>
      </c>
      <c r="E181" t="s">
        <v>239</v>
      </c>
      <c r="F181" t="s">
        <v>240</v>
      </c>
    </row>
    <row r="182" spans="1:6" hidden="1" x14ac:dyDescent="0.2">
      <c r="A182" t="s">
        <v>241</v>
      </c>
      <c r="B182" t="s">
        <v>20</v>
      </c>
      <c r="C182" t="s">
        <v>65</v>
      </c>
      <c r="D182" t="s">
        <v>242</v>
      </c>
      <c r="E182" t="s">
        <v>239</v>
      </c>
      <c r="F182" t="s">
        <v>240</v>
      </c>
    </row>
    <row r="183" spans="1:6" hidden="1" x14ac:dyDescent="0.2">
      <c r="A183" t="s">
        <v>241</v>
      </c>
      <c r="B183" t="s">
        <v>12</v>
      </c>
      <c r="C183" t="s">
        <v>13</v>
      </c>
      <c r="D183" t="s">
        <v>242</v>
      </c>
      <c r="E183" t="s">
        <v>239</v>
      </c>
      <c r="F183" t="s">
        <v>240</v>
      </c>
    </row>
    <row r="184" spans="1:6" hidden="1" x14ac:dyDescent="0.2">
      <c r="A184" t="s">
        <v>243</v>
      </c>
      <c r="B184" t="s">
        <v>20</v>
      </c>
      <c r="C184" t="s">
        <v>8</v>
      </c>
      <c r="D184" t="s">
        <v>244</v>
      </c>
      <c r="E184" t="s">
        <v>239</v>
      </c>
      <c r="F184" t="s">
        <v>240</v>
      </c>
    </row>
    <row r="185" spans="1:6" hidden="1" x14ac:dyDescent="0.2">
      <c r="A185" t="s">
        <v>243</v>
      </c>
      <c r="B185" t="s">
        <v>32</v>
      </c>
      <c r="C185" t="s">
        <v>13</v>
      </c>
      <c r="D185" t="s">
        <v>244</v>
      </c>
      <c r="E185" t="s">
        <v>239</v>
      </c>
      <c r="F185" t="s">
        <v>240</v>
      </c>
    </row>
    <row r="186" spans="1:6" hidden="1" x14ac:dyDescent="0.2">
      <c r="A186" t="s">
        <v>245</v>
      </c>
      <c r="B186" t="s">
        <v>7</v>
      </c>
      <c r="C186" t="s">
        <v>8</v>
      </c>
      <c r="D186" t="s">
        <v>246</v>
      </c>
      <c r="E186" t="s">
        <v>247</v>
      </c>
      <c r="F186" t="s">
        <v>248</v>
      </c>
    </row>
    <row r="187" spans="1:6" hidden="1" x14ac:dyDescent="0.2">
      <c r="A187" t="s">
        <v>245</v>
      </c>
      <c r="B187" t="s">
        <v>20</v>
      </c>
      <c r="C187" t="s">
        <v>8</v>
      </c>
      <c r="D187" t="s">
        <v>246</v>
      </c>
      <c r="E187" t="s">
        <v>247</v>
      </c>
      <c r="F187" t="s">
        <v>248</v>
      </c>
    </row>
    <row r="188" spans="1:6" hidden="1" x14ac:dyDescent="0.2">
      <c r="A188" t="s">
        <v>245</v>
      </c>
      <c r="B188" t="s">
        <v>32</v>
      </c>
      <c r="C188" t="s">
        <v>13</v>
      </c>
      <c r="D188" t="s">
        <v>246</v>
      </c>
      <c r="E188" t="s">
        <v>247</v>
      </c>
      <c r="F188" t="s">
        <v>248</v>
      </c>
    </row>
    <row r="189" spans="1:6" hidden="1" x14ac:dyDescent="0.2">
      <c r="A189" t="s">
        <v>245</v>
      </c>
      <c r="B189" t="s">
        <v>43</v>
      </c>
      <c r="C189" t="s">
        <v>13</v>
      </c>
      <c r="D189" t="s">
        <v>246</v>
      </c>
      <c r="E189" t="s">
        <v>247</v>
      </c>
      <c r="F189" t="s">
        <v>248</v>
      </c>
    </row>
    <row r="190" spans="1:6" hidden="1" x14ac:dyDescent="0.2">
      <c r="A190" t="s">
        <v>249</v>
      </c>
      <c r="B190" t="s">
        <v>28</v>
      </c>
      <c r="C190" t="s">
        <v>13</v>
      </c>
      <c r="D190" t="s">
        <v>250</v>
      </c>
      <c r="E190" t="s">
        <v>247</v>
      </c>
      <c r="F190" t="s">
        <v>248</v>
      </c>
    </row>
    <row r="191" spans="1:6" hidden="1" x14ac:dyDescent="0.2">
      <c r="A191" t="s">
        <v>249</v>
      </c>
      <c r="B191" t="s">
        <v>50</v>
      </c>
      <c r="C191" t="s">
        <v>13</v>
      </c>
      <c r="D191" t="s">
        <v>250</v>
      </c>
      <c r="E191" t="s">
        <v>247</v>
      </c>
      <c r="F191" t="s">
        <v>248</v>
      </c>
    </row>
    <row r="192" spans="1:6" hidden="1" x14ac:dyDescent="0.2">
      <c r="A192" t="s">
        <v>249</v>
      </c>
      <c r="B192" t="s">
        <v>17</v>
      </c>
      <c r="C192" t="s">
        <v>13</v>
      </c>
      <c r="D192" t="s">
        <v>250</v>
      </c>
      <c r="E192" t="s">
        <v>247</v>
      </c>
      <c r="F192" t="s">
        <v>248</v>
      </c>
    </row>
    <row r="193" spans="1:6" hidden="1" x14ac:dyDescent="0.2">
      <c r="A193" t="s">
        <v>251</v>
      </c>
      <c r="B193" t="s">
        <v>7</v>
      </c>
      <c r="C193" t="s">
        <v>8</v>
      </c>
      <c r="D193" t="s">
        <v>252</v>
      </c>
      <c r="E193" t="s">
        <v>247</v>
      </c>
      <c r="F193" t="s">
        <v>253</v>
      </c>
    </row>
    <row r="194" spans="1:6" hidden="1" x14ac:dyDescent="0.2">
      <c r="A194" t="s">
        <v>251</v>
      </c>
      <c r="B194" t="s">
        <v>12</v>
      </c>
      <c r="C194" t="s">
        <v>8</v>
      </c>
      <c r="D194" t="s">
        <v>252</v>
      </c>
      <c r="E194" t="s">
        <v>247</v>
      </c>
      <c r="F194" t="s">
        <v>253</v>
      </c>
    </row>
    <row r="195" spans="1:6" hidden="1" x14ac:dyDescent="0.2">
      <c r="A195" t="s">
        <v>251</v>
      </c>
      <c r="B195" t="s">
        <v>254</v>
      </c>
      <c r="C195" t="s">
        <v>13</v>
      </c>
      <c r="D195" t="s">
        <v>252</v>
      </c>
      <c r="E195" t="s">
        <v>247</v>
      </c>
      <c r="F195" t="s">
        <v>248</v>
      </c>
    </row>
    <row r="196" spans="1:6" hidden="1" x14ac:dyDescent="0.2">
      <c r="A196" t="s">
        <v>255</v>
      </c>
      <c r="B196" t="s">
        <v>29</v>
      </c>
      <c r="C196" t="s">
        <v>8</v>
      </c>
      <c r="D196" t="s">
        <v>256</v>
      </c>
      <c r="E196" t="s">
        <v>257</v>
      </c>
      <c r="F196" s="2">
        <v>45816</v>
      </c>
    </row>
    <row r="197" spans="1:6" hidden="1" x14ac:dyDescent="0.2">
      <c r="A197" t="s">
        <v>255</v>
      </c>
      <c r="B197" t="s">
        <v>30</v>
      </c>
      <c r="C197" t="s">
        <v>8</v>
      </c>
      <c r="D197" t="s">
        <v>256</v>
      </c>
      <c r="E197" t="s">
        <v>257</v>
      </c>
      <c r="F197" s="2">
        <v>45816</v>
      </c>
    </row>
    <row r="198" spans="1:6" hidden="1" x14ac:dyDescent="0.2">
      <c r="A198" t="s">
        <v>258</v>
      </c>
      <c r="B198" t="s">
        <v>20</v>
      </c>
      <c r="C198" t="s">
        <v>13</v>
      </c>
      <c r="D198" t="s">
        <v>259</v>
      </c>
      <c r="E198" t="s">
        <v>260</v>
      </c>
      <c r="F198" t="s">
        <v>261</v>
      </c>
    </row>
    <row r="199" spans="1:6" hidden="1" x14ac:dyDescent="0.2">
      <c r="A199" t="s">
        <v>258</v>
      </c>
      <c r="B199" t="s">
        <v>7</v>
      </c>
      <c r="C199" t="s">
        <v>13</v>
      </c>
      <c r="D199" t="s">
        <v>259</v>
      </c>
      <c r="E199" t="s">
        <v>260</v>
      </c>
      <c r="F199" t="s">
        <v>261</v>
      </c>
    </row>
    <row r="200" spans="1:6" hidden="1" x14ac:dyDescent="0.2">
      <c r="A200" t="s">
        <v>258</v>
      </c>
      <c r="B200" t="s">
        <v>38</v>
      </c>
      <c r="C200" t="s">
        <v>13</v>
      </c>
      <c r="D200" t="s">
        <v>259</v>
      </c>
      <c r="E200" t="s">
        <v>260</v>
      </c>
      <c r="F200" t="s">
        <v>261</v>
      </c>
    </row>
    <row r="201" spans="1:6" hidden="1" x14ac:dyDescent="0.2">
      <c r="A201" t="s">
        <v>258</v>
      </c>
      <c r="B201" t="s">
        <v>70</v>
      </c>
      <c r="C201" t="s">
        <v>13</v>
      </c>
      <c r="D201" t="s">
        <v>259</v>
      </c>
      <c r="E201" t="s">
        <v>260</v>
      </c>
      <c r="F201" t="s">
        <v>261</v>
      </c>
    </row>
    <row r="202" spans="1:6" hidden="1" x14ac:dyDescent="0.2">
      <c r="A202" t="s">
        <v>258</v>
      </c>
      <c r="B202" t="s">
        <v>12</v>
      </c>
      <c r="C202" t="s">
        <v>13</v>
      </c>
      <c r="D202" t="s">
        <v>259</v>
      </c>
      <c r="E202" t="s">
        <v>260</v>
      </c>
      <c r="F202" t="s">
        <v>261</v>
      </c>
    </row>
    <row r="203" spans="1:6" hidden="1" x14ac:dyDescent="0.2">
      <c r="A203" t="s">
        <v>262</v>
      </c>
      <c r="B203" t="s">
        <v>26</v>
      </c>
      <c r="C203" t="s">
        <v>8</v>
      </c>
      <c r="D203" t="s">
        <v>263</v>
      </c>
      <c r="E203" t="s">
        <v>264</v>
      </c>
      <c r="F203" t="s">
        <v>265</v>
      </c>
    </row>
    <row r="204" spans="1:6" hidden="1" x14ac:dyDescent="0.2">
      <c r="A204" t="s">
        <v>262</v>
      </c>
      <c r="B204" t="s">
        <v>30</v>
      </c>
      <c r="C204" t="s">
        <v>8</v>
      </c>
      <c r="D204" t="s">
        <v>263</v>
      </c>
      <c r="E204" t="s">
        <v>264</v>
      </c>
      <c r="F204" t="s">
        <v>266</v>
      </c>
    </row>
    <row r="205" spans="1:6" hidden="1" x14ac:dyDescent="0.2">
      <c r="A205" t="s">
        <v>262</v>
      </c>
      <c r="B205" t="s">
        <v>38</v>
      </c>
      <c r="C205" t="s">
        <v>13</v>
      </c>
      <c r="D205" t="s">
        <v>263</v>
      </c>
      <c r="E205" t="s">
        <v>264</v>
      </c>
      <c r="F205" t="s">
        <v>267</v>
      </c>
    </row>
    <row r="206" spans="1:6" hidden="1" x14ac:dyDescent="0.2">
      <c r="A206" t="s">
        <v>268</v>
      </c>
      <c r="B206" t="s">
        <v>7</v>
      </c>
      <c r="C206" t="s">
        <v>8</v>
      </c>
      <c r="D206" t="s">
        <v>269</v>
      </c>
      <c r="E206" t="s">
        <v>264</v>
      </c>
      <c r="F206" t="s">
        <v>265</v>
      </c>
    </row>
    <row r="207" spans="1:6" hidden="1" x14ac:dyDescent="0.2">
      <c r="A207" t="s">
        <v>268</v>
      </c>
      <c r="B207" t="s">
        <v>20</v>
      </c>
      <c r="C207" t="s">
        <v>13</v>
      </c>
      <c r="D207" t="s">
        <v>269</v>
      </c>
      <c r="E207" t="s">
        <v>264</v>
      </c>
      <c r="F207" t="s">
        <v>266</v>
      </c>
    </row>
    <row r="208" spans="1:6" hidden="1" x14ac:dyDescent="0.2">
      <c r="A208" t="s">
        <v>270</v>
      </c>
      <c r="B208" t="s">
        <v>158</v>
      </c>
      <c r="C208" t="s">
        <v>13</v>
      </c>
      <c r="D208" t="s">
        <v>271</v>
      </c>
      <c r="E208" t="s">
        <v>272</v>
      </c>
      <c r="F208" s="2">
        <v>45812</v>
      </c>
    </row>
    <row r="209" spans="1:6" hidden="1" x14ac:dyDescent="0.2">
      <c r="A209" t="s">
        <v>273</v>
      </c>
      <c r="B209" t="s">
        <v>186</v>
      </c>
      <c r="C209" t="s">
        <v>8</v>
      </c>
      <c r="D209" t="s">
        <v>274</v>
      </c>
      <c r="E209" t="s">
        <v>275</v>
      </c>
      <c r="F209" t="s">
        <v>276</v>
      </c>
    </row>
    <row r="210" spans="1:6" hidden="1" x14ac:dyDescent="0.2">
      <c r="A210" t="s">
        <v>273</v>
      </c>
      <c r="B210" t="s">
        <v>7</v>
      </c>
      <c r="C210" t="s">
        <v>13</v>
      </c>
      <c r="D210" t="s">
        <v>274</v>
      </c>
      <c r="E210" t="s">
        <v>275</v>
      </c>
      <c r="F210" t="s">
        <v>276</v>
      </c>
    </row>
    <row r="211" spans="1:6" hidden="1" x14ac:dyDescent="0.2">
      <c r="A211" t="s">
        <v>273</v>
      </c>
      <c r="B211" t="s">
        <v>58</v>
      </c>
      <c r="C211" t="s">
        <v>13</v>
      </c>
      <c r="D211" t="s">
        <v>274</v>
      </c>
      <c r="E211" t="s">
        <v>275</v>
      </c>
      <c r="F211" t="s">
        <v>276</v>
      </c>
    </row>
    <row r="212" spans="1:6" hidden="1" x14ac:dyDescent="0.2">
      <c r="A212" t="s">
        <v>273</v>
      </c>
      <c r="B212" t="s">
        <v>17</v>
      </c>
      <c r="C212" t="s">
        <v>13</v>
      </c>
      <c r="D212" t="s">
        <v>274</v>
      </c>
      <c r="E212" t="s">
        <v>275</v>
      </c>
      <c r="F212" t="s">
        <v>276</v>
      </c>
    </row>
    <row r="213" spans="1:6" hidden="1" x14ac:dyDescent="0.2">
      <c r="A213" t="s">
        <v>273</v>
      </c>
      <c r="B213" t="s">
        <v>28</v>
      </c>
      <c r="C213" t="s">
        <v>13</v>
      </c>
      <c r="D213" t="s">
        <v>274</v>
      </c>
      <c r="E213" t="s">
        <v>275</v>
      </c>
      <c r="F213" t="s">
        <v>276</v>
      </c>
    </row>
    <row r="214" spans="1:6" hidden="1" x14ac:dyDescent="0.2">
      <c r="A214" t="s">
        <v>273</v>
      </c>
      <c r="B214" t="s">
        <v>50</v>
      </c>
      <c r="C214" t="s">
        <v>13</v>
      </c>
      <c r="D214" t="s">
        <v>274</v>
      </c>
      <c r="E214" t="s">
        <v>275</v>
      </c>
      <c r="F214" t="s">
        <v>276</v>
      </c>
    </row>
    <row r="215" spans="1:6" hidden="1" x14ac:dyDescent="0.2">
      <c r="A215" t="s">
        <v>277</v>
      </c>
      <c r="B215" t="s">
        <v>20</v>
      </c>
      <c r="C215" t="s">
        <v>8</v>
      </c>
      <c r="D215" t="s">
        <v>278</v>
      </c>
      <c r="E215" t="s">
        <v>279</v>
      </c>
      <c r="F215" t="s">
        <v>205</v>
      </c>
    </row>
    <row r="216" spans="1:6" hidden="1" x14ac:dyDescent="0.2">
      <c r="A216" t="s">
        <v>277</v>
      </c>
      <c r="B216" t="s">
        <v>30</v>
      </c>
      <c r="C216" t="s">
        <v>8</v>
      </c>
      <c r="D216" t="s">
        <v>278</v>
      </c>
      <c r="E216" t="s">
        <v>279</v>
      </c>
      <c r="F216" t="s">
        <v>205</v>
      </c>
    </row>
    <row r="217" spans="1:6" hidden="1" x14ac:dyDescent="0.2">
      <c r="A217" t="s">
        <v>277</v>
      </c>
      <c r="B217" t="s">
        <v>12</v>
      </c>
      <c r="C217" t="s">
        <v>13</v>
      </c>
      <c r="D217" t="s">
        <v>278</v>
      </c>
      <c r="E217" t="s">
        <v>279</v>
      </c>
      <c r="F217" t="s">
        <v>205</v>
      </c>
    </row>
    <row r="218" spans="1:6" hidden="1" x14ac:dyDescent="0.2">
      <c r="A218" t="s">
        <v>277</v>
      </c>
      <c r="B218" t="s">
        <v>58</v>
      </c>
      <c r="C218" t="s">
        <v>13</v>
      </c>
      <c r="D218" t="s">
        <v>278</v>
      </c>
      <c r="E218" t="s">
        <v>279</v>
      </c>
      <c r="F218" t="s">
        <v>205</v>
      </c>
    </row>
    <row r="219" spans="1:6" hidden="1" x14ac:dyDescent="0.2">
      <c r="A219" t="s">
        <v>280</v>
      </c>
      <c r="B219" t="s">
        <v>7</v>
      </c>
      <c r="C219" t="s">
        <v>13</v>
      </c>
      <c r="D219" t="s">
        <v>281</v>
      </c>
      <c r="E219" t="s">
        <v>279</v>
      </c>
      <c r="F219" t="s">
        <v>205</v>
      </c>
    </row>
    <row r="220" spans="1:6" hidden="1" x14ac:dyDescent="0.2">
      <c r="A220" t="s">
        <v>282</v>
      </c>
      <c r="B220" t="s">
        <v>100</v>
      </c>
      <c r="C220" t="s">
        <v>13</v>
      </c>
      <c r="D220" t="s">
        <v>283</v>
      </c>
      <c r="E220" t="s">
        <v>279</v>
      </c>
      <c r="F220" t="s">
        <v>284</v>
      </c>
    </row>
    <row r="221" spans="1:6" hidden="1" x14ac:dyDescent="0.2">
      <c r="A221" t="s">
        <v>282</v>
      </c>
      <c r="B221" t="s">
        <v>50</v>
      </c>
      <c r="C221" t="s">
        <v>13</v>
      </c>
      <c r="D221" t="s">
        <v>283</v>
      </c>
      <c r="E221" t="s">
        <v>279</v>
      </c>
      <c r="F221" t="s">
        <v>205</v>
      </c>
    </row>
    <row r="222" spans="1:6" hidden="1" x14ac:dyDescent="0.2">
      <c r="A222" t="s">
        <v>282</v>
      </c>
      <c r="B222" t="s">
        <v>186</v>
      </c>
      <c r="C222" t="s">
        <v>13</v>
      </c>
      <c r="D222" t="s">
        <v>283</v>
      </c>
      <c r="E222" t="s">
        <v>279</v>
      </c>
      <c r="F222" t="s">
        <v>205</v>
      </c>
    </row>
    <row r="223" spans="1:6" hidden="1" x14ac:dyDescent="0.2">
      <c r="A223" t="s">
        <v>285</v>
      </c>
      <c r="B223" t="s">
        <v>158</v>
      </c>
      <c r="C223" t="s">
        <v>13</v>
      </c>
      <c r="D223" t="s">
        <v>286</v>
      </c>
      <c r="E223" t="s">
        <v>287</v>
      </c>
      <c r="F223" t="s">
        <v>221</v>
      </c>
    </row>
    <row r="224" spans="1:6" hidden="1" x14ac:dyDescent="0.2">
      <c r="A224" t="s">
        <v>288</v>
      </c>
      <c r="B224" t="s">
        <v>7</v>
      </c>
      <c r="C224" t="s">
        <v>13</v>
      </c>
      <c r="D224" t="s">
        <v>289</v>
      </c>
      <c r="E224" t="s">
        <v>287</v>
      </c>
      <c r="F224" t="s">
        <v>221</v>
      </c>
    </row>
    <row r="225" spans="1:6" hidden="1" x14ac:dyDescent="0.2">
      <c r="A225" t="s">
        <v>288</v>
      </c>
      <c r="B225" t="s">
        <v>30</v>
      </c>
      <c r="C225" t="s">
        <v>13</v>
      </c>
      <c r="D225" t="s">
        <v>289</v>
      </c>
      <c r="E225" t="s">
        <v>287</v>
      </c>
      <c r="F225" t="s">
        <v>221</v>
      </c>
    </row>
    <row r="226" spans="1:6" hidden="1" x14ac:dyDescent="0.2">
      <c r="A226" t="s">
        <v>290</v>
      </c>
      <c r="B226" t="s">
        <v>186</v>
      </c>
      <c r="C226" t="s">
        <v>13</v>
      </c>
      <c r="D226" t="s">
        <v>291</v>
      </c>
      <c r="E226" t="s">
        <v>292</v>
      </c>
      <c r="F226" t="s">
        <v>236</v>
      </c>
    </row>
    <row r="227" spans="1:6" hidden="1" x14ac:dyDescent="0.2">
      <c r="A227" t="s">
        <v>293</v>
      </c>
      <c r="B227" t="s">
        <v>58</v>
      </c>
      <c r="C227" t="s">
        <v>294</v>
      </c>
      <c r="D227" t="s">
        <v>295</v>
      </c>
      <c r="E227" t="s">
        <v>292</v>
      </c>
      <c r="F227" t="s">
        <v>236</v>
      </c>
    </row>
    <row r="228" spans="1:6" hidden="1" x14ac:dyDescent="0.2">
      <c r="A228" t="s">
        <v>293</v>
      </c>
      <c r="B228" t="s">
        <v>38</v>
      </c>
      <c r="C228" t="s">
        <v>294</v>
      </c>
      <c r="D228" t="s">
        <v>295</v>
      </c>
      <c r="E228" t="s">
        <v>292</v>
      </c>
      <c r="F228" t="s">
        <v>236</v>
      </c>
    </row>
    <row r="229" spans="1:6" hidden="1" x14ac:dyDescent="0.2">
      <c r="A229" t="s">
        <v>296</v>
      </c>
      <c r="B229" t="s">
        <v>7</v>
      </c>
      <c r="C229" t="s">
        <v>13</v>
      </c>
      <c r="D229" t="s">
        <v>297</v>
      </c>
      <c r="E229" t="s">
        <v>298</v>
      </c>
      <c r="F229" t="s">
        <v>253</v>
      </c>
    </row>
    <row r="230" spans="1:6" hidden="1" x14ac:dyDescent="0.2">
      <c r="A230" t="s">
        <v>296</v>
      </c>
      <c r="B230" t="s">
        <v>299</v>
      </c>
      <c r="C230" t="s">
        <v>13</v>
      </c>
      <c r="D230" t="s">
        <v>297</v>
      </c>
      <c r="E230" t="s">
        <v>298</v>
      </c>
      <c r="F230" t="s">
        <v>253</v>
      </c>
    </row>
    <row r="231" spans="1:6" hidden="1" x14ac:dyDescent="0.2">
      <c r="A231" t="s">
        <v>296</v>
      </c>
      <c r="B231" t="s">
        <v>47</v>
      </c>
      <c r="C231" t="s">
        <v>13</v>
      </c>
      <c r="D231" t="s">
        <v>297</v>
      </c>
      <c r="E231" t="s">
        <v>298</v>
      </c>
      <c r="F231" t="s">
        <v>253</v>
      </c>
    </row>
    <row r="232" spans="1:6" hidden="1" x14ac:dyDescent="0.2">
      <c r="A232" t="s">
        <v>300</v>
      </c>
      <c r="B232" t="s">
        <v>20</v>
      </c>
      <c r="C232" t="s">
        <v>13</v>
      </c>
      <c r="D232" t="s">
        <v>301</v>
      </c>
      <c r="E232" t="s">
        <v>298</v>
      </c>
      <c r="F232" t="s">
        <v>253</v>
      </c>
    </row>
    <row r="233" spans="1:6" hidden="1" x14ac:dyDescent="0.2">
      <c r="A233" t="s">
        <v>300</v>
      </c>
      <c r="B233" t="s">
        <v>58</v>
      </c>
      <c r="C233" t="s">
        <v>13</v>
      </c>
      <c r="D233" t="s">
        <v>301</v>
      </c>
      <c r="E233" t="s">
        <v>298</v>
      </c>
      <c r="F233" t="s">
        <v>253</v>
      </c>
    </row>
    <row r="234" spans="1:6" hidden="1" x14ac:dyDescent="0.2">
      <c r="A234" t="s">
        <v>300</v>
      </c>
      <c r="B234" t="s">
        <v>17</v>
      </c>
      <c r="C234" t="s">
        <v>13</v>
      </c>
      <c r="D234" t="s">
        <v>301</v>
      </c>
      <c r="E234" t="s">
        <v>298</v>
      </c>
      <c r="F234" t="s">
        <v>253</v>
      </c>
    </row>
    <row r="235" spans="1:6" hidden="1" x14ac:dyDescent="0.2">
      <c r="A235" t="s">
        <v>302</v>
      </c>
      <c r="B235" t="s">
        <v>48</v>
      </c>
      <c r="C235" t="s">
        <v>13</v>
      </c>
      <c r="D235" t="s">
        <v>303</v>
      </c>
      <c r="E235" t="s">
        <v>298</v>
      </c>
      <c r="F235" t="s">
        <v>253</v>
      </c>
    </row>
    <row r="236" spans="1:6" hidden="1" x14ac:dyDescent="0.2">
      <c r="A236" t="s">
        <v>302</v>
      </c>
      <c r="B236" t="s">
        <v>7</v>
      </c>
      <c r="C236" t="s">
        <v>13</v>
      </c>
      <c r="D236" t="s">
        <v>303</v>
      </c>
      <c r="E236" t="s">
        <v>298</v>
      </c>
      <c r="F236" t="s">
        <v>253</v>
      </c>
    </row>
    <row r="237" spans="1:6" hidden="1" x14ac:dyDescent="0.2">
      <c r="A237" t="s">
        <v>304</v>
      </c>
      <c r="B237" t="s">
        <v>29</v>
      </c>
      <c r="C237" t="s">
        <v>13</v>
      </c>
      <c r="D237" t="s">
        <v>305</v>
      </c>
      <c r="E237" t="s">
        <v>306</v>
      </c>
      <c r="F237" t="s">
        <v>307</v>
      </c>
    </row>
    <row r="238" spans="1:6" hidden="1" x14ac:dyDescent="0.2">
      <c r="A238" t="s">
        <v>304</v>
      </c>
      <c r="B238" t="s">
        <v>50</v>
      </c>
      <c r="C238" t="s">
        <v>13</v>
      </c>
      <c r="D238" t="s">
        <v>305</v>
      </c>
      <c r="E238" t="s">
        <v>306</v>
      </c>
      <c r="F238" t="s">
        <v>307</v>
      </c>
    </row>
    <row r="239" spans="1:6" hidden="1" x14ac:dyDescent="0.2">
      <c r="A239" t="s">
        <v>308</v>
      </c>
      <c r="B239" t="s">
        <v>7</v>
      </c>
      <c r="C239" t="s">
        <v>65</v>
      </c>
      <c r="D239" t="s">
        <v>309</v>
      </c>
      <c r="E239" t="s">
        <v>310</v>
      </c>
      <c r="F239" t="s">
        <v>311</v>
      </c>
    </row>
    <row r="240" spans="1:6" hidden="1" x14ac:dyDescent="0.2">
      <c r="A240" t="s">
        <v>312</v>
      </c>
      <c r="B240" t="s">
        <v>7</v>
      </c>
      <c r="C240" t="s">
        <v>8</v>
      </c>
      <c r="D240" t="s">
        <v>313</v>
      </c>
      <c r="E240" t="s">
        <v>310</v>
      </c>
      <c r="F240" t="s">
        <v>311</v>
      </c>
    </row>
    <row r="241" spans="1:6" hidden="1" x14ac:dyDescent="0.2">
      <c r="A241" t="s">
        <v>312</v>
      </c>
      <c r="B241" t="s">
        <v>20</v>
      </c>
      <c r="C241" t="s">
        <v>8</v>
      </c>
      <c r="D241" t="s">
        <v>313</v>
      </c>
      <c r="E241" t="s">
        <v>310</v>
      </c>
      <c r="F241" t="s">
        <v>311</v>
      </c>
    </row>
    <row r="242" spans="1:6" hidden="1" x14ac:dyDescent="0.2">
      <c r="A242" t="s">
        <v>312</v>
      </c>
      <c r="B242" t="s">
        <v>30</v>
      </c>
      <c r="C242" t="s">
        <v>8</v>
      </c>
      <c r="D242" t="s">
        <v>313</v>
      </c>
      <c r="E242" t="s">
        <v>310</v>
      </c>
      <c r="F242" t="s">
        <v>311</v>
      </c>
    </row>
    <row r="243" spans="1:6" hidden="1" x14ac:dyDescent="0.2">
      <c r="A243" t="s">
        <v>312</v>
      </c>
      <c r="B243" t="s">
        <v>88</v>
      </c>
      <c r="C243" t="s">
        <v>8</v>
      </c>
      <c r="D243" t="s">
        <v>313</v>
      </c>
      <c r="E243" t="s">
        <v>310</v>
      </c>
      <c r="F243" t="s">
        <v>311</v>
      </c>
    </row>
    <row r="244" spans="1:6" hidden="1" x14ac:dyDescent="0.2">
      <c r="A244" t="s">
        <v>312</v>
      </c>
      <c r="B244" t="s">
        <v>32</v>
      </c>
      <c r="C244" t="s">
        <v>13</v>
      </c>
      <c r="D244" t="s">
        <v>313</v>
      </c>
      <c r="E244" t="s">
        <v>310</v>
      </c>
      <c r="F244" t="s">
        <v>311</v>
      </c>
    </row>
    <row r="245" spans="1:6" hidden="1" x14ac:dyDescent="0.2">
      <c r="A245" t="s">
        <v>314</v>
      </c>
      <c r="B245" t="s">
        <v>28</v>
      </c>
      <c r="C245" t="s">
        <v>8</v>
      </c>
      <c r="D245" t="s">
        <v>315</v>
      </c>
      <c r="E245" t="s">
        <v>310</v>
      </c>
      <c r="F245" t="s">
        <v>316</v>
      </c>
    </row>
    <row r="246" spans="1:6" hidden="1" x14ac:dyDescent="0.2">
      <c r="A246" t="s">
        <v>314</v>
      </c>
      <c r="B246" t="s">
        <v>7</v>
      </c>
      <c r="C246" t="s">
        <v>8</v>
      </c>
      <c r="D246" t="s">
        <v>315</v>
      </c>
      <c r="E246" t="s">
        <v>310</v>
      </c>
      <c r="F246" t="s">
        <v>316</v>
      </c>
    </row>
    <row r="247" spans="1:6" hidden="1" x14ac:dyDescent="0.2">
      <c r="A247" t="s">
        <v>314</v>
      </c>
      <c r="B247" t="s">
        <v>47</v>
      </c>
      <c r="C247" t="s">
        <v>13</v>
      </c>
      <c r="D247" t="s">
        <v>315</v>
      </c>
      <c r="E247" t="s">
        <v>310</v>
      </c>
      <c r="F247" t="s">
        <v>311</v>
      </c>
    </row>
    <row r="248" spans="1:6" hidden="1" x14ac:dyDescent="0.2">
      <c r="A248" t="s">
        <v>317</v>
      </c>
      <c r="B248" t="s">
        <v>58</v>
      </c>
      <c r="C248" t="s">
        <v>13</v>
      </c>
      <c r="D248" t="s">
        <v>318</v>
      </c>
      <c r="E248" t="s">
        <v>310</v>
      </c>
      <c r="F248" t="s">
        <v>311</v>
      </c>
    </row>
    <row r="249" spans="1:6" hidden="1" x14ac:dyDescent="0.2">
      <c r="A249" t="s">
        <v>319</v>
      </c>
      <c r="B249" t="s">
        <v>20</v>
      </c>
      <c r="C249" t="s">
        <v>13</v>
      </c>
      <c r="D249" t="s">
        <v>320</v>
      </c>
      <c r="E249" t="s">
        <v>321</v>
      </c>
      <c r="F249" t="s">
        <v>265</v>
      </c>
    </row>
    <row r="250" spans="1:6" hidden="1" x14ac:dyDescent="0.2">
      <c r="A250" t="s">
        <v>319</v>
      </c>
      <c r="B250" t="s">
        <v>322</v>
      </c>
      <c r="C250" t="s">
        <v>13</v>
      </c>
      <c r="D250" t="s">
        <v>320</v>
      </c>
      <c r="E250" t="s">
        <v>321</v>
      </c>
      <c r="F250" t="s">
        <v>265</v>
      </c>
    </row>
    <row r="251" spans="1:6" hidden="1" x14ac:dyDescent="0.2">
      <c r="A251" t="s">
        <v>323</v>
      </c>
      <c r="B251" t="s">
        <v>12</v>
      </c>
      <c r="C251" t="s">
        <v>13</v>
      </c>
      <c r="D251" t="s">
        <v>324</v>
      </c>
      <c r="E251" t="s">
        <v>325</v>
      </c>
      <c r="F251" t="s">
        <v>326</v>
      </c>
    </row>
    <row r="252" spans="1:6" hidden="1" x14ac:dyDescent="0.2">
      <c r="A252" t="s">
        <v>323</v>
      </c>
      <c r="B252" t="s">
        <v>327</v>
      </c>
      <c r="C252" t="s">
        <v>13</v>
      </c>
      <c r="D252" t="s">
        <v>324</v>
      </c>
      <c r="E252" t="s">
        <v>325</v>
      </c>
      <c r="F252" t="s">
        <v>326</v>
      </c>
    </row>
    <row r="253" spans="1:6" hidden="1" x14ac:dyDescent="0.2">
      <c r="A253" t="s">
        <v>323</v>
      </c>
      <c r="B253" t="s">
        <v>328</v>
      </c>
      <c r="C253" t="s">
        <v>13</v>
      </c>
      <c r="D253" t="s">
        <v>324</v>
      </c>
      <c r="E253" t="s">
        <v>325</v>
      </c>
      <c r="F253" t="s">
        <v>326</v>
      </c>
    </row>
    <row r="254" spans="1:6" hidden="1" x14ac:dyDescent="0.2">
      <c r="A254" t="s">
        <v>323</v>
      </c>
      <c r="B254" t="s">
        <v>58</v>
      </c>
      <c r="C254" t="s">
        <v>13</v>
      </c>
      <c r="D254" t="s">
        <v>324</v>
      </c>
      <c r="E254" t="s">
        <v>325</v>
      </c>
      <c r="F254" t="s">
        <v>329</v>
      </c>
    </row>
    <row r="255" spans="1:6" hidden="1" x14ac:dyDescent="0.2">
      <c r="A255" t="s">
        <v>330</v>
      </c>
      <c r="B255" t="s">
        <v>20</v>
      </c>
      <c r="C255" t="s">
        <v>152</v>
      </c>
      <c r="D255" t="s">
        <v>331</v>
      </c>
      <c r="E255" t="s">
        <v>332</v>
      </c>
      <c r="F255" s="2">
        <v>45791</v>
      </c>
    </row>
    <row r="256" spans="1:6" hidden="1" x14ac:dyDescent="0.2">
      <c r="A256" t="s">
        <v>333</v>
      </c>
      <c r="B256" t="s">
        <v>50</v>
      </c>
      <c r="C256" t="s">
        <v>13</v>
      </c>
      <c r="D256" t="s">
        <v>334</v>
      </c>
      <c r="E256" t="s">
        <v>335</v>
      </c>
      <c r="F256" t="s">
        <v>336</v>
      </c>
    </row>
    <row r="257" spans="1:6" hidden="1" x14ac:dyDescent="0.2">
      <c r="A257" t="s">
        <v>337</v>
      </c>
      <c r="B257" t="s">
        <v>58</v>
      </c>
      <c r="C257" t="s">
        <v>8</v>
      </c>
      <c r="D257" t="s">
        <v>338</v>
      </c>
      <c r="E257" t="s">
        <v>335</v>
      </c>
      <c r="F257" t="s">
        <v>339</v>
      </c>
    </row>
    <row r="258" spans="1:6" hidden="1" x14ac:dyDescent="0.2">
      <c r="A258" t="s">
        <v>337</v>
      </c>
      <c r="B258" t="s">
        <v>222</v>
      </c>
      <c r="C258" t="s">
        <v>8</v>
      </c>
      <c r="D258" t="s">
        <v>338</v>
      </c>
      <c r="E258" t="s">
        <v>335</v>
      </c>
      <c r="F258" t="s">
        <v>339</v>
      </c>
    </row>
    <row r="259" spans="1:6" hidden="1" x14ac:dyDescent="0.2">
      <c r="A259" t="s">
        <v>337</v>
      </c>
      <c r="B259" t="s">
        <v>327</v>
      </c>
      <c r="C259" t="s">
        <v>8</v>
      </c>
      <c r="D259" t="s">
        <v>338</v>
      </c>
      <c r="E259" t="s">
        <v>335</v>
      </c>
      <c r="F259" t="s">
        <v>339</v>
      </c>
    </row>
    <row r="260" spans="1:6" hidden="1" x14ac:dyDescent="0.2">
      <c r="A260" t="s">
        <v>337</v>
      </c>
      <c r="B260" t="s">
        <v>50</v>
      </c>
      <c r="C260" t="s">
        <v>13</v>
      </c>
      <c r="D260" t="s">
        <v>338</v>
      </c>
      <c r="E260" t="s">
        <v>335</v>
      </c>
      <c r="F260" t="s">
        <v>336</v>
      </c>
    </row>
    <row r="261" spans="1:6" hidden="1" x14ac:dyDescent="0.2">
      <c r="A261" t="s">
        <v>337</v>
      </c>
      <c r="B261" t="s">
        <v>12</v>
      </c>
      <c r="C261" t="s">
        <v>13</v>
      </c>
      <c r="D261" t="s">
        <v>338</v>
      </c>
      <c r="E261" t="s">
        <v>335</v>
      </c>
      <c r="F261" t="s">
        <v>336</v>
      </c>
    </row>
    <row r="262" spans="1:6" hidden="1" x14ac:dyDescent="0.2">
      <c r="A262" t="s">
        <v>337</v>
      </c>
      <c r="B262" t="s">
        <v>70</v>
      </c>
      <c r="C262" t="s">
        <v>13</v>
      </c>
      <c r="D262" t="s">
        <v>338</v>
      </c>
      <c r="E262" t="s">
        <v>335</v>
      </c>
      <c r="F262" t="s">
        <v>336</v>
      </c>
    </row>
    <row r="263" spans="1:6" hidden="1" x14ac:dyDescent="0.2">
      <c r="A263" t="s">
        <v>340</v>
      </c>
      <c r="B263" t="s">
        <v>12</v>
      </c>
      <c r="C263" t="s">
        <v>13</v>
      </c>
      <c r="D263" t="s">
        <v>341</v>
      </c>
      <c r="E263" t="s">
        <v>342</v>
      </c>
      <c r="F263" t="s">
        <v>316</v>
      </c>
    </row>
    <row r="264" spans="1:6" hidden="1" x14ac:dyDescent="0.2">
      <c r="A264" t="s">
        <v>343</v>
      </c>
      <c r="B264" t="s">
        <v>7</v>
      </c>
      <c r="C264" t="s">
        <v>13</v>
      </c>
      <c r="D264" t="s">
        <v>344</v>
      </c>
      <c r="E264" t="s">
        <v>342</v>
      </c>
      <c r="F264" t="s">
        <v>316</v>
      </c>
    </row>
    <row r="265" spans="1:6" hidden="1" x14ac:dyDescent="0.2">
      <c r="A265" t="s">
        <v>343</v>
      </c>
      <c r="B265" t="s">
        <v>110</v>
      </c>
      <c r="C265" t="s">
        <v>13</v>
      </c>
      <c r="D265" t="s">
        <v>344</v>
      </c>
      <c r="E265" t="s">
        <v>342</v>
      </c>
      <c r="F265" t="s">
        <v>316</v>
      </c>
    </row>
    <row r="266" spans="1:6" hidden="1" x14ac:dyDescent="0.2">
      <c r="A266" t="s">
        <v>345</v>
      </c>
      <c r="B266" t="s">
        <v>7</v>
      </c>
      <c r="C266" t="s">
        <v>8</v>
      </c>
      <c r="D266" t="s">
        <v>346</v>
      </c>
      <c r="E266" t="s">
        <v>342</v>
      </c>
      <c r="F266" t="s">
        <v>347</v>
      </c>
    </row>
    <row r="267" spans="1:6" hidden="1" x14ac:dyDescent="0.2">
      <c r="A267" t="s">
        <v>345</v>
      </c>
      <c r="B267" t="s">
        <v>20</v>
      </c>
      <c r="C267" t="s">
        <v>13</v>
      </c>
      <c r="D267" t="s">
        <v>346</v>
      </c>
      <c r="E267" t="s">
        <v>342</v>
      </c>
      <c r="F267" t="s">
        <v>316</v>
      </c>
    </row>
    <row r="268" spans="1:6" hidden="1" x14ac:dyDescent="0.2">
      <c r="A268" t="s">
        <v>345</v>
      </c>
      <c r="B268" t="s">
        <v>30</v>
      </c>
      <c r="C268" t="s">
        <v>13</v>
      </c>
      <c r="D268" t="s">
        <v>346</v>
      </c>
      <c r="E268" t="s">
        <v>342</v>
      </c>
      <c r="F268" t="s">
        <v>316</v>
      </c>
    </row>
    <row r="269" spans="1:6" hidden="1" x14ac:dyDescent="0.2">
      <c r="A269" t="s">
        <v>348</v>
      </c>
      <c r="B269" t="s">
        <v>29</v>
      </c>
      <c r="C269" t="s">
        <v>13</v>
      </c>
      <c r="D269" t="s">
        <v>349</v>
      </c>
      <c r="E269" t="s">
        <v>342</v>
      </c>
      <c r="F269" t="s">
        <v>316</v>
      </c>
    </row>
    <row r="270" spans="1:6" hidden="1" x14ac:dyDescent="0.2">
      <c r="A270" t="s">
        <v>350</v>
      </c>
      <c r="B270" t="s">
        <v>58</v>
      </c>
      <c r="C270" t="s">
        <v>13</v>
      </c>
      <c r="D270" t="s">
        <v>351</v>
      </c>
      <c r="E270" t="s">
        <v>352</v>
      </c>
      <c r="F270" t="s">
        <v>353</v>
      </c>
    </row>
    <row r="271" spans="1:6" x14ac:dyDescent="0.2">
      <c r="A271" t="s">
        <v>350</v>
      </c>
      <c r="B271" t="s">
        <v>35</v>
      </c>
      <c r="C271" t="s">
        <v>13</v>
      </c>
      <c r="D271" t="s">
        <v>351</v>
      </c>
      <c r="E271" t="s">
        <v>352</v>
      </c>
      <c r="F271" t="s">
        <v>353</v>
      </c>
    </row>
    <row r="272" spans="1:6" hidden="1" x14ac:dyDescent="0.2">
      <c r="A272" t="s">
        <v>350</v>
      </c>
      <c r="B272" t="s">
        <v>186</v>
      </c>
      <c r="C272" t="s">
        <v>13</v>
      </c>
      <c r="D272" t="s">
        <v>351</v>
      </c>
      <c r="E272" t="s">
        <v>352</v>
      </c>
      <c r="F272" t="s">
        <v>353</v>
      </c>
    </row>
    <row r="273" spans="1:6" hidden="1" x14ac:dyDescent="0.2">
      <c r="A273" t="s">
        <v>350</v>
      </c>
      <c r="B273" t="s">
        <v>354</v>
      </c>
      <c r="C273" t="s">
        <v>13</v>
      </c>
      <c r="D273" t="s">
        <v>351</v>
      </c>
      <c r="E273" t="s">
        <v>352</v>
      </c>
      <c r="F273" t="s">
        <v>353</v>
      </c>
    </row>
    <row r="274" spans="1:6" hidden="1" x14ac:dyDescent="0.2">
      <c r="A274" t="s">
        <v>355</v>
      </c>
      <c r="B274" t="s">
        <v>48</v>
      </c>
      <c r="C274" t="s">
        <v>8</v>
      </c>
      <c r="D274" t="s">
        <v>356</v>
      </c>
      <c r="E274" t="s">
        <v>352</v>
      </c>
      <c r="F274" t="s">
        <v>353</v>
      </c>
    </row>
    <row r="275" spans="1:6" hidden="1" x14ac:dyDescent="0.2">
      <c r="A275" t="s">
        <v>355</v>
      </c>
      <c r="B275" t="s">
        <v>30</v>
      </c>
      <c r="C275" t="s">
        <v>8</v>
      </c>
      <c r="D275" t="s">
        <v>356</v>
      </c>
      <c r="E275" t="s">
        <v>352</v>
      </c>
      <c r="F275" t="s">
        <v>353</v>
      </c>
    </row>
    <row r="276" spans="1:6" hidden="1" x14ac:dyDescent="0.2">
      <c r="A276" t="s">
        <v>355</v>
      </c>
      <c r="B276" t="s">
        <v>20</v>
      </c>
      <c r="C276" t="s">
        <v>13</v>
      </c>
      <c r="D276" t="s">
        <v>356</v>
      </c>
      <c r="E276" t="s">
        <v>352</v>
      </c>
      <c r="F276" t="s">
        <v>353</v>
      </c>
    </row>
    <row r="277" spans="1:6" hidden="1" x14ac:dyDescent="0.2">
      <c r="A277" t="s">
        <v>355</v>
      </c>
      <c r="B277" t="s">
        <v>76</v>
      </c>
      <c r="C277" t="s">
        <v>13</v>
      </c>
      <c r="D277" t="s">
        <v>356</v>
      </c>
      <c r="E277" t="s">
        <v>352</v>
      </c>
      <c r="F277" t="s">
        <v>353</v>
      </c>
    </row>
    <row r="278" spans="1:6" x14ac:dyDescent="0.2">
      <c r="A278" t="s">
        <v>355</v>
      </c>
      <c r="B278" t="s">
        <v>35</v>
      </c>
      <c r="C278" t="s">
        <v>13</v>
      </c>
      <c r="D278" t="s">
        <v>356</v>
      </c>
      <c r="E278" t="s">
        <v>352</v>
      </c>
      <c r="F278" t="s">
        <v>353</v>
      </c>
    </row>
    <row r="279" spans="1:6" hidden="1" x14ac:dyDescent="0.2">
      <c r="A279" t="s">
        <v>357</v>
      </c>
      <c r="B279" t="s">
        <v>30</v>
      </c>
      <c r="C279" t="s">
        <v>8</v>
      </c>
      <c r="D279" t="s">
        <v>358</v>
      </c>
      <c r="E279" t="s">
        <v>359</v>
      </c>
      <c r="F279" t="s">
        <v>339</v>
      </c>
    </row>
    <row r="280" spans="1:6" hidden="1" x14ac:dyDescent="0.2">
      <c r="A280" t="s">
        <v>357</v>
      </c>
      <c r="B280" t="s">
        <v>360</v>
      </c>
      <c r="C280" t="s">
        <v>8</v>
      </c>
      <c r="D280" t="s">
        <v>358</v>
      </c>
      <c r="E280" t="s">
        <v>359</v>
      </c>
      <c r="F280" t="s">
        <v>361</v>
      </c>
    </row>
    <row r="281" spans="1:6" hidden="1" x14ac:dyDescent="0.2">
      <c r="A281" t="s">
        <v>357</v>
      </c>
      <c r="B281" t="s">
        <v>32</v>
      </c>
      <c r="C281" t="s">
        <v>13</v>
      </c>
      <c r="D281" t="s">
        <v>358</v>
      </c>
      <c r="E281" t="s">
        <v>359</v>
      </c>
      <c r="F281" t="s">
        <v>361</v>
      </c>
    </row>
    <row r="282" spans="1:6" hidden="1" x14ac:dyDescent="0.2">
      <c r="A282" t="s">
        <v>362</v>
      </c>
      <c r="B282" t="s">
        <v>20</v>
      </c>
      <c r="C282" t="s">
        <v>13</v>
      </c>
      <c r="D282" t="s">
        <v>363</v>
      </c>
      <c r="E282" t="s">
        <v>364</v>
      </c>
      <c r="F282" t="s">
        <v>361</v>
      </c>
    </row>
    <row r="283" spans="1:6" hidden="1" x14ac:dyDescent="0.2">
      <c r="A283" t="s">
        <v>362</v>
      </c>
      <c r="B283" t="s">
        <v>222</v>
      </c>
      <c r="C283" t="s">
        <v>13</v>
      </c>
      <c r="D283" t="s">
        <v>363</v>
      </c>
      <c r="E283" t="s">
        <v>364</v>
      </c>
      <c r="F283" t="s">
        <v>361</v>
      </c>
    </row>
    <row r="284" spans="1:6" hidden="1" x14ac:dyDescent="0.2">
      <c r="A284" t="s">
        <v>365</v>
      </c>
      <c r="B284" t="s">
        <v>17</v>
      </c>
      <c r="C284" t="s">
        <v>13</v>
      </c>
      <c r="D284" t="s">
        <v>366</v>
      </c>
      <c r="E284" t="s">
        <v>364</v>
      </c>
      <c r="F284" t="s">
        <v>361</v>
      </c>
    </row>
    <row r="285" spans="1:6" hidden="1" x14ac:dyDescent="0.2">
      <c r="A285" t="s">
        <v>365</v>
      </c>
      <c r="B285" t="s">
        <v>327</v>
      </c>
      <c r="C285" t="s">
        <v>13</v>
      </c>
      <c r="D285" t="s">
        <v>366</v>
      </c>
      <c r="E285" t="s">
        <v>364</v>
      </c>
      <c r="F285" t="s">
        <v>361</v>
      </c>
    </row>
    <row r="286" spans="1:6" hidden="1" x14ac:dyDescent="0.2">
      <c r="A286" t="s">
        <v>367</v>
      </c>
      <c r="B286" t="s">
        <v>29</v>
      </c>
      <c r="C286" t="s">
        <v>13</v>
      </c>
      <c r="D286" t="s">
        <v>368</v>
      </c>
      <c r="E286" t="s">
        <v>364</v>
      </c>
      <c r="F286" t="s">
        <v>361</v>
      </c>
    </row>
    <row r="287" spans="1:6" hidden="1" x14ac:dyDescent="0.2">
      <c r="A287" t="s">
        <v>369</v>
      </c>
      <c r="B287" t="s">
        <v>7</v>
      </c>
      <c r="C287" t="s">
        <v>13</v>
      </c>
      <c r="D287" t="s">
        <v>370</v>
      </c>
      <c r="E287" t="s">
        <v>364</v>
      </c>
      <c r="F287" t="s">
        <v>361</v>
      </c>
    </row>
    <row r="288" spans="1:6" hidden="1" x14ac:dyDescent="0.2">
      <c r="A288" t="s">
        <v>369</v>
      </c>
      <c r="B288" t="s">
        <v>28</v>
      </c>
      <c r="C288" t="s">
        <v>13</v>
      </c>
      <c r="D288" t="s">
        <v>370</v>
      </c>
      <c r="E288" t="s">
        <v>364</v>
      </c>
      <c r="F288" t="s">
        <v>361</v>
      </c>
    </row>
    <row r="289" spans="1:6" hidden="1" x14ac:dyDescent="0.2">
      <c r="A289" t="s">
        <v>369</v>
      </c>
      <c r="B289" t="s">
        <v>38</v>
      </c>
      <c r="C289" t="s">
        <v>13</v>
      </c>
      <c r="D289" t="s">
        <v>370</v>
      </c>
      <c r="E289" t="s">
        <v>364</v>
      </c>
      <c r="F289" t="s">
        <v>361</v>
      </c>
    </row>
    <row r="290" spans="1:6" hidden="1" x14ac:dyDescent="0.2">
      <c r="A290" t="s">
        <v>371</v>
      </c>
      <c r="B290" t="s">
        <v>20</v>
      </c>
      <c r="C290" t="s">
        <v>13</v>
      </c>
      <c r="D290" t="s">
        <v>372</v>
      </c>
      <c r="E290" t="s">
        <v>373</v>
      </c>
      <c r="F290" t="s">
        <v>374</v>
      </c>
    </row>
    <row r="291" spans="1:6" hidden="1" x14ac:dyDescent="0.2">
      <c r="A291" t="s">
        <v>371</v>
      </c>
      <c r="B291" t="s">
        <v>327</v>
      </c>
      <c r="C291" t="s">
        <v>13</v>
      </c>
      <c r="D291" t="s">
        <v>372</v>
      </c>
      <c r="E291" t="s">
        <v>373</v>
      </c>
      <c r="F291" t="s">
        <v>374</v>
      </c>
    </row>
    <row r="292" spans="1:6" hidden="1" x14ac:dyDescent="0.2">
      <c r="A292" t="s">
        <v>375</v>
      </c>
      <c r="B292" t="s">
        <v>7</v>
      </c>
      <c r="C292" t="s">
        <v>13</v>
      </c>
      <c r="D292" t="s">
        <v>376</v>
      </c>
      <c r="E292" t="s">
        <v>377</v>
      </c>
      <c r="F292" t="s">
        <v>339</v>
      </c>
    </row>
    <row r="293" spans="1:6" hidden="1" x14ac:dyDescent="0.2">
      <c r="A293" t="s">
        <v>375</v>
      </c>
      <c r="B293" t="s">
        <v>20</v>
      </c>
      <c r="C293" t="s">
        <v>13</v>
      </c>
      <c r="D293" t="s">
        <v>376</v>
      </c>
      <c r="E293" t="s">
        <v>377</v>
      </c>
      <c r="F293" t="s">
        <v>339</v>
      </c>
    </row>
    <row r="294" spans="1:6" hidden="1" x14ac:dyDescent="0.2">
      <c r="A294" t="s">
        <v>378</v>
      </c>
      <c r="B294" t="s">
        <v>165</v>
      </c>
      <c r="C294" t="s">
        <v>8</v>
      </c>
      <c r="D294" t="s">
        <v>379</v>
      </c>
      <c r="E294" t="s">
        <v>377</v>
      </c>
      <c r="F294" t="s">
        <v>339</v>
      </c>
    </row>
    <row r="295" spans="1:6" hidden="1" x14ac:dyDescent="0.2">
      <c r="A295" t="s">
        <v>378</v>
      </c>
      <c r="B295" t="s">
        <v>328</v>
      </c>
      <c r="C295" t="s">
        <v>13</v>
      </c>
      <c r="D295" t="s">
        <v>379</v>
      </c>
      <c r="E295" t="s">
        <v>377</v>
      </c>
      <c r="F295" t="s">
        <v>339</v>
      </c>
    </row>
    <row r="296" spans="1:6" hidden="1" x14ac:dyDescent="0.2">
      <c r="A296" t="s">
        <v>380</v>
      </c>
      <c r="B296" t="s">
        <v>7</v>
      </c>
      <c r="C296" t="s">
        <v>13</v>
      </c>
      <c r="D296" t="s">
        <v>381</v>
      </c>
      <c r="E296" t="s">
        <v>377</v>
      </c>
      <c r="F296" t="s">
        <v>339</v>
      </c>
    </row>
    <row r="297" spans="1:6" hidden="1" x14ac:dyDescent="0.2">
      <c r="A297" t="s">
        <v>380</v>
      </c>
      <c r="B297" t="s">
        <v>20</v>
      </c>
      <c r="C297" t="s">
        <v>13</v>
      </c>
      <c r="D297" t="s">
        <v>381</v>
      </c>
      <c r="E297" t="s">
        <v>377</v>
      </c>
      <c r="F297" t="s">
        <v>339</v>
      </c>
    </row>
    <row r="298" spans="1:6" hidden="1" x14ac:dyDescent="0.2">
      <c r="A298" t="s">
        <v>382</v>
      </c>
      <c r="B298" t="s">
        <v>7</v>
      </c>
      <c r="C298" t="s">
        <v>8</v>
      </c>
      <c r="D298" t="s">
        <v>383</v>
      </c>
      <c r="E298" t="s">
        <v>377</v>
      </c>
      <c r="F298" t="s">
        <v>384</v>
      </c>
    </row>
    <row r="299" spans="1:6" hidden="1" x14ac:dyDescent="0.2">
      <c r="A299" t="s">
        <v>382</v>
      </c>
      <c r="B299" t="s">
        <v>385</v>
      </c>
      <c r="C299" t="s">
        <v>13</v>
      </c>
      <c r="D299" t="s">
        <v>383</v>
      </c>
      <c r="E299" t="s">
        <v>377</v>
      </c>
      <c r="F299" t="s">
        <v>339</v>
      </c>
    </row>
    <row r="300" spans="1:6" hidden="1" x14ac:dyDescent="0.2">
      <c r="A300" t="s">
        <v>386</v>
      </c>
      <c r="B300" t="s">
        <v>20</v>
      </c>
      <c r="C300" t="s">
        <v>13</v>
      </c>
      <c r="D300" t="s">
        <v>387</v>
      </c>
      <c r="E300" t="s">
        <v>377</v>
      </c>
      <c r="F300" t="s">
        <v>339</v>
      </c>
    </row>
    <row r="301" spans="1:6" hidden="1" x14ac:dyDescent="0.2">
      <c r="A301" t="s">
        <v>386</v>
      </c>
      <c r="B301" t="s">
        <v>95</v>
      </c>
      <c r="C301" t="s">
        <v>13</v>
      </c>
      <c r="D301" t="s">
        <v>387</v>
      </c>
      <c r="E301" t="s">
        <v>377</v>
      </c>
      <c r="F301" t="s">
        <v>339</v>
      </c>
    </row>
    <row r="302" spans="1:6" hidden="1" x14ac:dyDescent="0.2">
      <c r="A302" t="s">
        <v>388</v>
      </c>
      <c r="B302" t="s">
        <v>17</v>
      </c>
      <c r="C302" t="s">
        <v>13</v>
      </c>
      <c r="D302" t="s">
        <v>389</v>
      </c>
      <c r="E302" t="s">
        <v>377</v>
      </c>
      <c r="F302" t="s">
        <v>339</v>
      </c>
    </row>
    <row r="303" spans="1:6" hidden="1" x14ac:dyDescent="0.2">
      <c r="A303" t="s">
        <v>388</v>
      </c>
      <c r="B303" t="s">
        <v>47</v>
      </c>
      <c r="C303" t="s">
        <v>13</v>
      </c>
      <c r="D303" t="s">
        <v>389</v>
      </c>
      <c r="E303" t="s">
        <v>377</v>
      </c>
      <c r="F303" t="s">
        <v>339</v>
      </c>
    </row>
    <row r="304" spans="1:6" hidden="1" x14ac:dyDescent="0.2">
      <c r="A304" t="s">
        <v>390</v>
      </c>
      <c r="B304" t="s">
        <v>7</v>
      </c>
      <c r="C304" t="s">
        <v>8</v>
      </c>
      <c r="D304" t="s">
        <v>391</v>
      </c>
      <c r="E304" t="s">
        <v>392</v>
      </c>
      <c r="F304" t="s">
        <v>347</v>
      </c>
    </row>
    <row r="305" spans="1:6" hidden="1" x14ac:dyDescent="0.2">
      <c r="A305" t="s">
        <v>390</v>
      </c>
      <c r="B305" t="s">
        <v>327</v>
      </c>
      <c r="C305" t="s">
        <v>8</v>
      </c>
      <c r="D305" t="s">
        <v>391</v>
      </c>
      <c r="E305" t="s">
        <v>392</v>
      </c>
      <c r="F305" t="s">
        <v>347</v>
      </c>
    </row>
    <row r="306" spans="1:6" hidden="1" x14ac:dyDescent="0.2">
      <c r="A306" t="s">
        <v>390</v>
      </c>
      <c r="B306" t="s">
        <v>29</v>
      </c>
      <c r="C306" t="s">
        <v>8</v>
      </c>
      <c r="D306" t="s">
        <v>391</v>
      </c>
      <c r="E306" t="s">
        <v>392</v>
      </c>
      <c r="F306" t="s">
        <v>347</v>
      </c>
    </row>
    <row r="307" spans="1:6" hidden="1" x14ac:dyDescent="0.2">
      <c r="A307" t="s">
        <v>390</v>
      </c>
      <c r="B307" t="s">
        <v>222</v>
      </c>
      <c r="C307" t="s">
        <v>8</v>
      </c>
      <c r="D307" t="s">
        <v>391</v>
      </c>
      <c r="E307" t="s">
        <v>392</v>
      </c>
      <c r="F307" t="s">
        <v>347</v>
      </c>
    </row>
    <row r="308" spans="1:6" hidden="1" x14ac:dyDescent="0.2">
      <c r="A308" t="s">
        <v>390</v>
      </c>
      <c r="B308" t="s">
        <v>100</v>
      </c>
      <c r="C308" t="s">
        <v>8</v>
      </c>
      <c r="D308" t="s">
        <v>391</v>
      </c>
      <c r="E308" t="s">
        <v>392</v>
      </c>
      <c r="F308" t="s">
        <v>347</v>
      </c>
    </row>
    <row r="309" spans="1:6" hidden="1" x14ac:dyDescent="0.2">
      <c r="A309" t="s">
        <v>390</v>
      </c>
      <c r="B309" t="s">
        <v>328</v>
      </c>
      <c r="C309" t="s">
        <v>13</v>
      </c>
      <c r="D309" t="s">
        <v>391</v>
      </c>
      <c r="E309" t="s">
        <v>392</v>
      </c>
      <c r="F309" t="s">
        <v>347</v>
      </c>
    </row>
    <row r="310" spans="1:6" hidden="1" x14ac:dyDescent="0.2">
      <c r="A310" t="s">
        <v>393</v>
      </c>
      <c r="B310" t="s">
        <v>50</v>
      </c>
      <c r="C310" t="s">
        <v>13</v>
      </c>
      <c r="D310" t="s">
        <v>394</v>
      </c>
      <c r="E310" t="s">
        <v>392</v>
      </c>
      <c r="F310" t="s">
        <v>347</v>
      </c>
    </row>
    <row r="311" spans="1:6" x14ac:dyDescent="0.2">
      <c r="A311" t="s">
        <v>393</v>
      </c>
      <c r="B311" t="s">
        <v>35</v>
      </c>
      <c r="C311" t="s">
        <v>13</v>
      </c>
      <c r="D311" t="s">
        <v>394</v>
      </c>
      <c r="E311" t="s">
        <v>392</v>
      </c>
      <c r="F311" t="s">
        <v>347</v>
      </c>
    </row>
    <row r="312" spans="1:6" hidden="1" x14ac:dyDescent="0.2">
      <c r="A312" t="s">
        <v>395</v>
      </c>
      <c r="B312" t="s">
        <v>20</v>
      </c>
      <c r="C312" t="s">
        <v>13</v>
      </c>
      <c r="D312" t="s">
        <v>396</v>
      </c>
      <c r="E312" t="s">
        <v>392</v>
      </c>
      <c r="F312" t="s">
        <v>347</v>
      </c>
    </row>
    <row r="313" spans="1:6" hidden="1" x14ac:dyDescent="0.2">
      <c r="A313" t="s">
        <v>395</v>
      </c>
      <c r="B313" t="s">
        <v>7</v>
      </c>
      <c r="C313" t="s">
        <v>13</v>
      </c>
      <c r="D313" t="s">
        <v>396</v>
      </c>
      <c r="E313" t="s">
        <v>392</v>
      </c>
      <c r="F313" t="s">
        <v>347</v>
      </c>
    </row>
    <row r="314" spans="1:6" hidden="1" x14ac:dyDescent="0.2">
      <c r="A314" t="s">
        <v>395</v>
      </c>
      <c r="B314" t="s">
        <v>50</v>
      </c>
      <c r="C314" t="s">
        <v>13</v>
      </c>
      <c r="D314" t="s">
        <v>396</v>
      </c>
      <c r="E314" t="s">
        <v>392</v>
      </c>
      <c r="F314" t="s">
        <v>347</v>
      </c>
    </row>
    <row r="315" spans="1:6" hidden="1" x14ac:dyDescent="0.2">
      <c r="A315" t="s">
        <v>397</v>
      </c>
      <c r="B315" t="s">
        <v>20</v>
      </c>
      <c r="C315" t="s">
        <v>13</v>
      </c>
      <c r="D315" t="s">
        <v>398</v>
      </c>
      <c r="E315" t="s">
        <v>392</v>
      </c>
      <c r="F315" t="s">
        <v>347</v>
      </c>
    </row>
    <row r="316" spans="1:6" hidden="1" x14ac:dyDescent="0.2">
      <c r="A316" t="s">
        <v>397</v>
      </c>
      <c r="B316" t="s">
        <v>26</v>
      </c>
      <c r="C316" t="s">
        <v>13</v>
      </c>
      <c r="D316" t="s">
        <v>398</v>
      </c>
      <c r="E316" t="s">
        <v>392</v>
      </c>
      <c r="F316" t="s">
        <v>347</v>
      </c>
    </row>
    <row r="317" spans="1:6" hidden="1" x14ac:dyDescent="0.2">
      <c r="A317" t="s">
        <v>399</v>
      </c>
      <c r="B317" t="s">
        <v>20</v>
      </c>
      <c r="C317" t="s">
        <v>8</v>
      </c>
      <c r="D317" t="s">
        <v>400</v>
      </c>
      <c r="E317" t="s">
        <v>401</v>
      </c>
      <c r="F317" t="s">
        <v>402</v>
      </c>
    </row>
    <row r="318" spans="1:6" hidden="1" x14ac:dyDescent="0.2">
      <c r="A318" t="s">
        <v>399</v>
      </c>
      <c r="B318" t="s">
        <v>186</v>
      </c>
      <c r="C318" t="s">
        <v>13</v>
      </c>
      <c r="D318" t="s">
        <v>400</v>
      </c>
      <c r="E318" t="s">
        <v>401</v>
      </c>
      <c r="F318" t="s">
        <v>403</v>
      </c>
    </row>
    <row r="319" spans="1:6" hidden="1" x14ac:dyDescent="0.2">
      <c r="A319" t="s">
        <v>399</v>
      </c>
      <c r="B319" t="s">
        <v>137</v>
      </c>
      <c r="C319" t="s">
        <v>13</v>
      </c>
      <c r="D319" t="s">
        <v>400</v>
      </c>
      <c r="E319" t="s">
        <v>401</v>
      </c>
      <c r="F319" t="s">
        <v>403</v>
      </c>
    </row>
    <row r="320" spans="1:6" hidden="1" x14ac:dyDescent="0.2">
      <c r="A320" t="s">
        <v>404</v>
      </c>
      <c r="B320" t="s">
        <v>20</v>
      </c>
      <c r="C320" t="s">
        <v>13</v>
      </c>
      <c r="D320" t="s">
        <v>405</v>
      </c>
      <c r="E320" t="s">
        <v>401</v>
      </c>
      <c r="F320" t="s">
        <v>403</v>
      </c>
    </row>
    <row r="321" spans="1:6" hidden="1" x14ac:dyDescent="0.2">
      <c r="A321" t="s">
        <v>406</v>
      </c>
      <c r="B321" t="s">
        <v>38</v>
      </c>
      <c r="C321" t="s">
        <v>8</v>
      </c>
      <c r="D321" t="s">
        <v>407</v>
      </c>
      <c r="E321" t="s">
        <v>408</v>
      </c>
      <c r="F321" t="s">
        <v>384</v>
      </c>
    </row>
    <row r="322" spans="1:6" x14ac:dyDescent="0.2">
      <c r="A322" t="s">
        <v>406</v>
      </c>
      <c r="B322" t="s">
        <v>35</v>
      </c>
      <c r="C322" t="s">
        <v>8</v>
      </c>
      <c r="D322" t="s">
        <v>407</v>
      </c>
      <c r="E322" t="s">
        <v>408</v>
      </c>
      <c r="F322" t="s">
        <v>384</v>
      </c>
    </row>
    <row r="323" spans="1:6" hidden="1" x14ac:dyDescent="0.2">
      <c r="A323" t="s">
        <v>406</v>
      </c>
      <c r="B323" t="s">
        <v>186</v>
      </c>
      <c r="C323" t="s">
        <v>13</v>
      </c>
      <c r="D323" t="s">
        <v>407</v>
      </c>
      <c r="E323" t="s">
        <v>408</v>
      </c>
      <c r="F323" t="s">
        <v>409</v>
      </c>
    </row>
    <row r="324" spans="1:6" hidden="1" x14ac:dyDescent="0.2">
      <c r="A324" t="s">
        <v>410</v>
      </c>
      <c r="B324" t="s">
        <v>354</v>
      </c>
      <c r="C324" t="s">
        <v>13</v>
      </c>
      <c r="D324" t="s">
        <v>411</v>
      </c>
      <c r="E324" t="s">
        <v>408</v>
      </c>
      <c r="F324" t="s">
        <v>384</v>
      </c>
    </row>
    <row r="325" spans="1:6" hidden="1" x14ac:dyDescent="0.2">
      <c r="A325" t="s">
        <v>410</v>
      </c>
      <c r="B325" t="s">
        <v>299</v>
      </c>
      <c r="C325" t="s">
        <v>13</v>
      </c>
      <c r="D325" t="s">
        <v>411</v>
      </c>
      <c r="E325" t="s">
        <v>408</v>
      </c>
      <c r="F325" t="s">
        <v>384</v>
      </c>
    </row>
    <row r="326" spans="1:6" hidden="1" x14ac:dyDescent="0.2">
      <c r="A326" t="s">
        <v>412</v>
      </c>
      <c r="B326" t="s">
        <v>7</v>
      </c>
      <c r="C326" t="s">
        <v>13</v>
      </c>
      <c r="D326" t="s">
        <v>413</v>
      </c>
      <c r="E326" t="s">
        <v>414</v>
      </c>
      <c r="F326" t="s">
        <v>415</v>
      </c>
    </row>
    <row r="327" spans="1:6" hidden="1" x14ac:dyDescent="0.2">
      <c r="A327" t="s">
        <v>412</v>
      </c>
      <c r="B327" t="s">
        <v>56</v>
      </c>
      <c r="C327" t="s">
        <v>13</v>
      </c>
      <c r="D327" t="s">
        <v>413</v>
      </c>
      <c r="E327" t="s">
        <v>414</v>
      </c>
      <c r="F327" t="s">
        <v>415</v>
      </c>
    </row>
    <row r="328" spans="1:6" hidden="1" x14ac:dyDescent="0.2">
      <c r="A328" t="s">
        <v>416</v>
      </c>
      <c r="B328" t="s">
        <v>12</v>
      </c>
      <c r="C328" t="s">
        <v>8</v>
      </c>
      <c r="D328" t="s">
        <v>417</v>
      </c>
      <c r="E328" t="s">
        <v>418</v>
      </c>
      <c r="F328" t="s">
        <v>409</v>
      </c>
    </row>
    <row r="329" spans="1:6" hidden="1" x14ac:dyDescent="0.2">
      <c r="A329" t="s">
        <v>416</v>
      </c>
      <c r="B329" t="s">
        <v>7</v>
      </c>
      <c r="C329" t="s">
        <v>13</v>
      </c>
      <c r="D329" t="s">
        <v>417</v>
      </c>
      <c r="E329" t="s">
        <v>418</v>
      </c>
      <c r="F329" t="s">
        <v>409</v>
      </c>
    </row>
    <row r="330" spans="1:6" hidden="1" x14ac:dyDescent="0.2">
      <c r="A330" t="s">
        <v>419</v>
      </c>
      <c r="B330" t="s">
        <v>58</v>
      </c>
      <c r="C330" t="s">
        <v>13</v>
      </c>
      <c r="D330" t="s">
        <v>420</v>
      </c>
      <c r="E330" t="s">
        <v>418</v>
      </c>
      <c r="F330" t="s">
        <v>409</v>
      </c>
    </row>
    <row r="331" spans="1:6" hidden="1" x14ac:dyDescent="0.2">
      <c r="A331" t="s">
        <v>421</v>
      </c>
      <c r="B331" t="s">
        <v>20</v>
      </c>
      <c r="C331" t="s">
        <v>13</v>
      </c>
      <c r="D331" t="s">
        <v>422</v>
      </c>
      <c r="E331" t="s">
        <v>423</v>
      </c>
      <c r="F331" t="s">
        <v>424</v>
      </c>
    </row>
    <row r="332" spans="1:6" hidden="1" x14ac:dyDescent="0.2">
      <c r="A332" t="s">
        <v>421</v>
      </c>
      <c r="B332" t="s">
        <v>17</v>
      </c>
      <c r="C332" t="s">
        <v>13</v>
      </c>
      <c r="D332" t="s">
        <v>422</v>
      </c>
      <c r="E332" t="s">
        <v>423</v>
      </c>
      <c r="F332" t="s">
        <v>424</v>
      </c>
    </row>
    <row r="333" spans="1:6" hidden="1" x14ac:dyDescent="0.2">
      <c r="A333" t="s">
        <v>425</v>
      </c>
      <c r="B333" t="s">
        <v>426</v>
      </c>
      <c r="C333" t="s">
        <v>13</v>
      </c>
      <c r="D333" t="s">
        <v>427</v>
      </c>
      <c r="E333" t="s">
        <v>423</v>
      </c>
      <c r="F333" t="s">
        <v>428</v>
      </c>
    </row>
    <row r="334" spans="1:6" hidden="1" x14ac:dyDescent="0.2">
      <c r="A334" t="s">
        <v>425</v>
      </c>
      <c r="B334" t="s">
        <v>28</v>
      </c>
      <c r="C334" t="s">
        <v>13</v>
      </c>
      <c r="D334" t="s">
        <v>427</v>
      </c>
      <c r="E334" t="s">
        <v>423</v>
      </c>
      <c r="F334" t="s">
        <v>428</v>
      </c>
    </row>
    <row r="335" spans="1:6" hidden="1" x14ac:dyDescent="0.2">
      <c r="A335" t="s">
        <v>425</v>
      </c>
      <c r="B335" t="s">
        <v>429</v>
      </c>
      <c r="C335" t="s">
        <v>13</v>
      </c>
      <c r="D335" t="s">
        <v>427</v>
      </c>
      <c r="E335" t="s">
        <v>423</v>
      </c>
      <c r="F335" t="s">
        <v>430</v>
      </c>
    </row>
    <row r="336" spans="1:6" hidden="1" x14ac:dyDescent="0.2">
      <c r="A336" t="s">
        <v>425</v>
      </c>
      <c r="B336" t="s">
        <v>30</v>
      </c>
      <c r="C336" t="s">
        <v>13</v>
      </c>
      <c r="D336" t="s">
        <v>427</v>
      </c>
      <c r="E336" t="s">
        <v>423</v>
      </c>
      <c r="F336" t="s">
        <v>430</v>
      </c>
    </row>
    <row r="337" spans="1:6" hidden="1" x14ac:dyDescent="0.2">
      <c r="A337" t="s">
        <v>425</v>
      </c>
      <c r="B337" t="s">
        <v>360</v>
      </c>
      <c r="C337" t="s">
        <v>13</v>
      </c>
      <c r="D337" t="s">
        <v>427</v>
      </c>
      <c r="E337" t="s">
        <v>423</v>
      </c>
      <c r="F337" t="s">
        <v>430</v>
      </c>
    </row>
    <row r="338" spans="1:6" hidden="1" x14ac:dyDescent="0.2">
      <c r="A338" t="s">
        <v>431</v>
      </c>
      <c r="B338" t="s">
        <v>30</v>
      </c>
      <c r="C338" t="s">
        <v>8</v>
      </c>
      <c r="D338" t="s">
        <v>432</v>
      </c>
      <c r="E338" t="s">
        <v>433</v>
      </c>
      <c r="F338" t="s">
        <v>402</v>
      </c>
    </row>
    <row r="339" spans="1:6" hidden="1" x14ac:dyDescent="0.2">
      <c r="A339" t="s">
        <v>431</v>
      </c>
      <c r="B339" t="s">
        <v>7</v>
      </c>
      <c r="C339" t="s">
        <v>8</v>
      </c>
      <c r="D339" t="s">
        <v>432</v>
      </c>
      <c r="E339" t="s">
        <v>433</v>
      </c>
      <c r="F339" t="s">
        <v>402</v>
      </c>
    </row>
    <row r="340" spans="1:6" x14ac:dyDescent="0.2">
      <c r="A340" t="s">
        <v>431</v>
      </c>
      <c r="B340" t="s">
        <v>35</v>
      </c>
      <c r="C340" t="s">
        <v>8</v>
      </c>
      <c r="D340" t="s">
        <v>432</v>
      </c>
      <c r="E340" t="s">
        <v>433</v>
      </c>
      <c r="F340" t="s">
        <v>402</v>
      </c>
    </row>
    <row r="341" spans="1:6" hidden="1" x14ac:dyDescent="0.2">
      <c r="A341" t="s">
        <v>431</v>
      </c>
      <c r="B341" t="s">
        <v>47</v>
      </c>
      <c r="C341" t="s">
        <v>8</v>
      </c>
      <c r="D341" t="s">
        <v>432</v>
      </c>
      <c r="E341" t="s">
        <v>433</v>
      </c>
      <c r="F341" t="s">
        <v>402</v>
      </c>
    </row>
    <row r="342" spans="1:6" hidden="1" x14ac:dyDescent="0.2">
      <c r="A342" t="s">
        <v>431</v>
      </c>
      <c r="B342" t="s">
        <v>32</v>
      </c>
      <c r="C342" t="s">
        <v>13</v>
      </c>
      <c r="D342" t="s">
        <v>432</v>
      </c>
      <c r="E342" t="s">
        <v>433</v>
      </c>
      <c r="F342" t="s">
        <v>402</v>
      </c>
    </row>
    <row r="343" spans="1:6" hidden="1" x14ac:dyDescent="0.2">
      <c r="A343" t="s">
        <v>431</v>
      </c>
      <c r="B343" t="s">
        <v>50</v>
      </c>
      <c r="C343" t="s">
        <v>13</v>
      </c>
      <c r="D343" t="s">
        <v>432</v>
      </c>
      <c r="E343" t="s">
        <v>433</v>
      </c>
      <c r="F343" t="s">
        <v>402</v>
      </c>
    </row>
    <row r="344" spans="1:6" hidden="1" x14ac:dyDescent="0.2">
      <c r="A344" t="s">
        <v>434</v>
      </c>
      <c r="B344" t="s">
        <v>426</v>
      </c>
      <c r="C344" t="s">
        <v>13</v>
      </c>
      <c r="D344" t="s">
        <v>435</v>
      </c>
      <c r="E344" t="s">
        <v>436</v>
      </c>
      <c r="F344" t="s">
        <v>437</v>
      </c>
    </row>
    <row r="345" spans="1:6" hidden="1" x14ac:dyDescent="0.2">
      <c r="A345" t="s">
        <v>434</v>
      </c>
      <c r="B345" t="s">
        <v>322</v>
      </c>
      <c r="C345" t="s">
        <v>13</v>
      </c>
      <c r="D345" t="s">
        <v>435</v>
      </c>
      <c r="E345" t="s">
        <v>436</v>
      </c>
      <c r="F345" t="s">
        <v>437</v>
      </c>
    </row>
    <row r="346" spans="1:6" hidden="1" x14ac:dyDescent="0.2">
      <c r="A346" t="s">
        <v>438</v>
      </c>
      <c r="B346" t="s">
        <v>123</v>
      </c>
      <c r="C346" t="s">
        <v>13</v>
      </c>
      <c r="D346" t="s">
        <v>439</v>
      </c>
      <c r="E346" t="s">
        <v>436</v>
      </c>
      <c r="F346" t="s">
        <v>437</v>
      </c>
    </row>
    <row r="347" spans="1:6" hidden="1" x14ac:dyDescent="0.2">
      <c r="A347" t="s">
        <v>438</v>
      </c>
      <c r="B347" t="s">
        <v>440</v>
      </c>
      <c r="C347" t="s">
        <v>13</v>
      </c>
      <c r="D347" t="s">
        <v>439</v>
      </c>
      <c r="E347" t="s">
        <v>436</v>
      </c>
      <c r="F347" t="s">
        <v>437</v>
      </c>
    </row>
    <row r="348" spans="1:6" hidden="1" x14ac:dyDescent="0.2">
      <c r="A348" t="s">
        <v>441</v>
      </c>
      <c r="B348" t="s">
        <v>7</v>
      </c>
      <c r="C348" t="s">
        <v>8</v>
      </c>
      <c r="D348" t="s">
        <v>442</v>
      </c>
      <c r="E348" t="s">
        <v>443</v>
      </c>
      <c r="F348" t="s">
        <v>444</v>
      </c>
    </row>
    <row r="349" spans="1:6" hidden="1" x14ac:dyDescent="0.2">
      <c r="A349" t="s">
        <v>441</v>
      </c>
      <c r="B349" t="s">
        <v>50</v>
      </c>
      <c r="C349" t="s">
        <v>8</v>
      </c>
      <c r="D349" t="s">
        <v>442</v>
      </c>
      <c r="E349" t="s">
        <v>443</v>
      </c>
      <c r="F349" t="s">
        <v>444</v>
      </c>
    </row>
    <row r="350" spans="1:6" hidden="1" x14ac:dyDescent="0.2">
      <c r="A350" t="s">
        <v>441</v>
      </c>
      <c r="B350" t="s">
        <v>218</v>
      </c>
      <c r="C350" t="s">
        <v>13</v>
      </c>
      <c r="D350" t="s">
        <v>442</v>
      </c>
      <c r="E350" t="s">
        <v>443</v>
      </c>
      <c r="F350" t="s">
        <v>445</v>
      </c>
    </row>
    <row r="351" spans="1:6" hidden="1" x14ac:dyDescent="0.2">
      <c r="A351" t="s">
        <v>446</v>
      </c>
      <c r="B351" t="s">
        <v>28</v>
      </c>
      <c r="C351" t="s">
        <v>8</v>
      </c>
      <c r="D351" t="s">
        <v>447</v>
      </c>
      <c r="E351" t="s">
        <v>448</v>
      </c>
      <c r="F351" t="s">
        <v>449</v>
      </c>
    </row>
    <row r="352" spans="1:6" hidden="1" x14ac:dyDescent="0.2">
      <c r="A352" t="s">
        <v>446</v>
      </c>
      <c r="B352" t="s">
        <v>222</v>
      </c>
      <c r="C352" t="s">
        <v>8</v>
      </c>
      <c r="D352" t="s">
        <v>447</v>
      </c>
      <c r="E352" t="s">
        <v>448</v>
      </c>
      <c r="F352" t="s">
        <v>449</v>
      </c>
    </row>
    <row r="353" spans="1:6" hidden="1" x14ac:dyDescent="0.2">
      <c r="A353" t="s">
        <v>446</v>
      </c>
      <c r="B353" t="s">
        <v>12</v>
      </c>
      <c r="C353" t="s">
        <v>13</v>
      </c>
      <c r="D353" t="s">
        <v>447</v>
      </c>
      <c r="E353" t="s">
        <v>448</v>
      </c>
      <c r="F353" t="s">
        <v>449</v>
      </c>
    </row>
    <row r="354" spans="1:6" hidden="1" x14ac:dyDescent="0.2">
      <c r="A354" t="s">
        <v>446</v>
      </c>
      <c r="B354" t="s">
        <v>50</v>
      </c>
      <c r="C354" t="s">
        <v>13</v>
      </c>
      <c r="D354" t="s">
        <v>447</v>
      </c>
      <c r="E354" t="s">
        <v>448</v>
      </c>
      <c r="F354" t="s">
        <v>449</v>
      </c>
    </row>
    <row r="355" spans="1:6" hidden="1" x14ac:dyDescent="0.2">
      <c r="A355" t="s">
        <v>446</v>
      </c>
      <c r="B355" t="s">
        <v>95</v>
      </c>
      <c r="C355" t="s">
        <v>13</v>
      </c>
      <c r="D355" t="s">
        <v>447</v>
      </c>
      <c r="E355" t="s">
        <v>448</v>
      </c>
      <c r="F355" t="s">
        <v>449</v>
      </c>
    </row>
    <row r="356" spans="1:6" hidden="1" x14ac:dyDescent="0.2">
      <c r="A356" t="s">
        <v>450</v>
      </c>
      <c r="B356" t="s">
        <v>20</v>
      </c>
      <c r="C356" t="s">
        <v>8</v>
      </c>
      <c r="D356" t="s">
        <v>451</v>
      </c>
      <c r="E356" t="s">
        <v>452</v>
      </c>
      <c r="F356" t="s">
        <v>453</v>
      </c>
    </row>
    <row r="357" spans="1:6" hidden="1" x14ac:dyDescent="0.2">
      <c r="A357" t="s">
        <v>450</v>
      </c>
      <c r="B357" t="s">
        <v>95</v>
      </c>
      <c r="C357" t="s">
        <v>13</v>
      </c>
      <c r="D357" t="s">
        <v>451</v>
      </c>
      <c r="E357" t="s">
        <v>452</v>
      </c>
      <c r="F357" t="s">
        <v>453</v>
      </c>
    </row>
    <row r="358" spans="1:6" hidden="1" x14ac:dyDescent="0.2">
      <c r="A358" t="s">
        <v>454</v>
      </c>
      <c r="B358" t="s">
        <v>50</v>
      </c>
      <c r="C358" t="s">
        <v>13</v>
      </c>
      <c r="D358" t="s">
        <v>455</v>
      </c>
      <c r="E358" t="s">
        <v>456</v>
      </c>
      <c r="F358" t="s">
        <v>457</v>
      </c>
    </row>
    <row r="359" spans="1:6" hidden="1" x14ac:dyDescent="0.2">
      <c r="A359" t="s">
        <v>454</v>
      </c>
      <c r="B359" t="s">
        <v>29</v>
      </c>
      <c r="C359" t="s">
        <v>13</v>
      </c>
      <c r="D359" t="s">
        <v>455</v>
      </c>
      <c r="E359" t="s">
        <v>456</v>
      </c>
      <c r="F359" t="s">
        <v>457</v>
      </c>
    </row>
    <row r="360" spans="1:6" hidden="1" x14ac:dyDescent="0.2">
      <c r="A360" t="s">
        <v>458</v>
      </c>
      <c r="B360" t="s">
        <v>20</v>
      </c>
      <c r="C360" t="s">
        <v>13</v>
      </c>
      <c r="D360" t="s">
        <v>459</v>
      </c>
      <c r="E360" t="s">
        <v>456</v>
      </c>
      <c r="F360" t="s">
        <v>457</v>
      </c>
    </row>
    <row r="361" spans="1:6" hidden="1" x14ac:dyDescent="0.2">
      <c r="A361" t="s">
        <v>458</v>
      </c>
      <c r="B361" t="s">
        <v>29</v>
      </c>
      <c r="C361" t="s">
        <v>13</v>
      </c>
      <c r="D361" t="s">
        <v>459</v>
      </c>
      <c r="E361" t="s">
        <v>456</v>
      </c>
      <c r="F361" t="s">
        <v>457</v>
      </c>
    </row>
    <row r="362" spans="1:6" hidden="1" x14ac:dyDescent="0.2">
      <c r="A362" t="s">
        <v>458</v>
      </c>
      <c r="B362" t="s">
        <v>12</v>
      </c>
      <c r="C362" t="s">
        <v>13</v>
      </c>
      <c r="D362" t="s">
        <v>459</v>
      </c>
      <c r="E362" t="s">
        <v>456</v>
      </c>
      <c r="F362" t="s">
        <v>457</v>
      </c>
    </row>
    <row r="363" spans="1:6" hidden="1" x14ac:dyDescent="0.2">
      <c r="A363" t="s">
        <v>458</v>
      </c>
      <c r="B363" t="s">
        <v>30</v>
      </c>
      <c r="C363" t="s">
        <v>13</v>
      </c>
      <c r="D363" t="s">
        <v>459</v>
      </c>
      <c r="E363" t="s">
        <v>456</v>
      </c>
      <c r="F363" t="s">
        <v>457</v>
      </c>
    </row>
    <row r="364" spans="1:6" hidden="1" x14ac:dyDescent="0.2">
      <c r="A364" t="s">
        <v>458</v>
      </c>
      <c r="B364" t="s">
        <v>7</v>
      </c>
      <c r="C364" t="s">
        <v>13</v>
      </c>
      <c r="D364" t="s">
        <v>459</v>
      </c>
      <c r="E364" t="s">
        <v>456</v>
      </c>
      <c r="F364" t="s">
        <v>457</v>
      </c>
    </row>
    <row r="365" spans="1:6" x14ac:dyDescent="0.2">
      <c r="A365" t="s">
        <v>460</v>
      </c>
      <c r="B365" t="s">
        <v>35</v>
      </c>
      <c r="C365" t="s">
        <v>65</v>
      </c>
      <c r="D365" t="s">
        <v>461</v>
      </c>
      <c r="E365" t="s">
        <v>462</v>
      </c>
      <c r="F365" s="2">
        <v>45736</v>
      </c>
    </row>
    <row r="366" spans="1:6" hidden="1" x14ac:dyDescent="0.2">
      <c r="A366" t="s">
        <v>463</v>
      </c>
      <c r="B366" t="s">
        <v>26</v>
      </c>
      <c r="C366" t="s">
        <v>13</v>
      </c>
      <c r="D366" t="s">
        <v>464</v>
      </c>
      <c r="E366" t="s">
        <v>462</v>
      </c>
      <c r="F366" t="s">
        <v>444</v>
      </c>
    </row>
    <row r="367" spans="1:6" hidden="1" x14ac:dyDescent="0.2">
      <c r="A367" t="s">
        <v>463</v>
      </c>
      <c r="B367" t="s">
        <v>7</v>
      </c>
      <c r="C367" t="s">
        <v>13</v>
      </c>
      <c r="D367" t="s">
        <v>464</v>
      </c>
      <c r="E367" t="s">
        <v>462</v>
      </c>
      <c r="F367" t="s">
        <v>444</v>
      </c>
    </row>
    <row r="368" spans="1:6" hidden="1" x14ac:dyDescent="0.2">
      <c r="A368" t="s">
        <v>465</v>
      </c>
      <c r="B368" t="s">
        <v>20</v>
      </c>
      <c r="C368" t="s">
        <v>8</v>
      </c>
      <c r="D368" t="s">
        <v>466</v>
      </c>
      <c r="E368" t="s">
        <v>467</v>
      </c>
      <c r="F368" t="s">
        <v>468</v>
      </c>
    </row>
    <row r="369" spans="1:6" hidden="1" x14ac:dyDescent="0.2">
      <c r="A369" t="s">
        <v>465</v>
      </c>
      <c r="B369" t="s">
        <v>30</v>
      </c>
      <c r="C369" t="s">
        <v>8</v>
      </c>
      <c r="D369" t="s">
        <v>466</v>
      </c>
      <c r="E369" t="s">
        <v>467</v>
      </c>
      <c r="F369" t="s">
        <v>468</v>
      </c>
    </row>
    <row r="370" spans="1:6" hidden="1" x14ac:dyDescent="0.2">
      <c r="A370" t="s">
        <v>465</v>
      </c>
      <c r="B370" t="s">
        <v>38</v>
      </c>
      <c r="C370" t="s">
        <v>8</v>
      </c>
      <c r="D370" t="s">
        <v>466</v>
      </c>
      <c r="E370" t="s">
        <v>467</v>
      </c>
      <c r="F370" t="s">
        <v>468</v>
      </c>
    </row>
    <row r="371" spans="1:6" hidden="1" x14ac:dyDescent="0.2">
      <c r="A371" t="s">
        <v>465</v>
      </c>
      <c r="B371" t="s">
        <v>7</v>
      </c>
      <c r="C371" t="s">
        <v>13</v>
      </c>
      <c r="D371" t="s">
        <v>466</v>
      </c>
      <c r="E371" t="s">
        <v>467</v>
      </c>
      <c r="F371" t="s">
        <v>468</v>
      </c>
    </row>
    <row r="372" spans="1:6" hidden="1" x14ac:dyDescent="0.2">
      <c r="A372" t="s">
        <v>469</v>
      </c>
      <c r="B372" t="s">
        <v>20</v>
      </c>
      <c r="C372" t="s">
        <v>8</v>
      </c>
      <c r="D372" t="s">
        <v>470</v>
      </c>
      <c r="E372" t="s">
        <v>471</v>
      </c>
      <c r="F372" t="s">
        <v>472</v>
      </c>
    </row>
    <row r="373" spans="1:6" hidden="1" x14ac:dyDescent="0.2">
      <c r="A373" t="s">
        <v>469</v>
      </c>
      <c r="B373" t="s">
        <v>7</v>
      </c>
      <c r="C373" t="s">
        <v>13</v>
      </c>
      <c r="D373" t="s">
        <v>470</v>
      </c>
      <c r="E373" t="s">
        <v>471</v>
      </c>
      <c r="F373" t="s">
        <v>473</v>
      </c>
    </row>
    <row r="374" spans="1:6" hidden="1" x14ac:dyDescent="0.2">
      <c r="A374" t="s">
        <v>469</v>
      </c>
      <c r="B374" t="s">
        <v>58</v>
      </c>
      <c r="C374" t="s">
        <v>13</v>
      </c>
      <c r="D374" t="s">
        <v>470</v>
      </c>
      <c r="E374" t="s">
        <v>471</v>
      </c>
      <c r="F374" t="s">
        <v>473</v>
      </c>
    </row>
    <row r="375" spans="1:6" hidden="1" x14ac:dyDescent="0.2">
      <c r="A375" t="s">
        <v>474</v>
      </c>
      <c r="B375" t="s">
        <v>58</v>
      </c>
      <c r="C375" t="s">
        <v>13</v>
      </c>
      <c r="D375" t="s">
        <v>475</v>
      </c>
      <c r="E375" t="s">
        <v>471</v>
      </c>
      <c r="F375" t="s">
        <v>473</v>
      </c>
    </row>
    <row r="376" spans="1:6" hidden="1" x14ac:dyDescent="0.2">
      <c r="A376" t="s">
        <v>474</v>
      </c>
      <c r="B376" t="s">
        <v>476</v>
      </c>
      <c r="C376" t="s">
        <v>13</v>
      </c>
      <c r="D376" t="s">
        <v>475</v>
      </c>
      <c r="E376" t="s">
        <v>471</v>
      </c>
      <c r="F376" t="s">
        <v>473</v>
      </c>
    </row>
    <row r="377" spans="1:6" hidden="1" x14ac:dyDescent="0.2">
      <c r="A377" t="s">
        <v>474</v>
      </c>
      <c r="B377" t="s">
        <v>7</v>
      </c>
      <c r="C377" t="s">
        <v>13</v>
      </c>
      <c r="D377" t="s">
        <v>475</v>
      </c>
      <c r="E377" t="s">
        <v>471</v>
      </c>
      <c r="F377" t="s">
        <v>473</v>
      </c>
    </row>
    <row r="378" spans="1:6" hidden="1" x14ac:dyDescent="0.2">
      <c r="A378" t="s">
        <v>477</v>
      </c>
      <c r="B378" t="s">
        <v>20</v>
      </c>
      <c r="C378" t="s">
        <v>13</v>
      </c>
      <c r="D378" t="s">
        <v>478</v>
      </c>
      <c r="E378" t="s">
        <v>479</v>
      </c>
      <c r="F378" t="s">
        <v>480</v>
      </c>
    </row>
    <row r="379" spans="1:6" hidden="1" x14ac:dyDescent="0.2">
      <c r="A379" t="s">
        <v>477</v>
      </c>
      <c r="B379" t="s">
        <v>30</v>
      </c>
      <c r="C379" t="s">
        <v>13</v>
      </c>
      <c r="D379" t="s">
        <v>478</v>
      </c>
      <c r="E379" t="s">
        <v>479</v>
      </c>
      <c r="F379" t="s">
        <v>480</v>
      </c>
    </row>
    <row r="380" spans="1:6" hidden="1" x14ac:dyDescent="0.2">
      <c r="A380" t="s">
        <v>477</v>
      </c>
      <c r="B380" t="s">
        <v>50</v>
      </c>
      <c r="C380" t="s">
        <v>13</v>
      </c>
      <c r="D380" t="s">
        <v>478</v>
      </c>
      <c r="E380" t="s">
        <v>479</v>
      </c>
      <c r="F380" t="s">
        <v>480</v>
      </c>
    </row>
    <row r="381" spans="1:6" hidden="1" x14ac:dyDescent="0.2">
      <c r="A381" t="s">
        <v>481</v>
      </c>
      <c r="B381" t="s">
        <v>20</v>
      </c>
      <c r="C381" t="s">
        <v>8</v>
      </c>
      <c r="D381" t="s">
        <v>482</v>
      </c>
      <c r="E381" t="s">
        <v>479</v>
      </c>
      <c r="F381" t="s">
        <v>472</v>
      </c>
    </row>
    <row r="382" spans="1:6" hidden="1" x14ac:dyDescent="0.2">
      <c r="A382" t="s">
        <v>481</v>
      </c>
      <c r="B382" t="s">
        <v>32</v>
      </c>
      <c r="C382" t="s">
        <v>13</v>
      </c>
      <c r="D382" t="s">
        <v>482</v>
      </c>
      <c r="E382" t="s">
        <v>479</v>
      </c>
      <c r="F382" t="s">
        <v>480</v>
      </c>
    </row>
    <row r="383" spans="1:6" hidden="1" x14ac:dyDescent="0.2">
      <c r="A383" t="s">
        <v>481</v>
      </c>
      <c r="B383" t="s">
        <v>50</v>
      </c>
      <c r="C383" t="s">
        <v>13</v>
      </c>
      <c r="D383" t="s">
        <v>482</v>
      </c>
      <c r="E383" t="s">
        <v>479</v>
      </c>
      <c r="F383" t="s">
        <v>480</v>
      </c>
    </row>
    <row r="384" spans="1:6" hidden="1" x14ac:dyDescent="0.2">
      <c r="A384" t="s">
        <v>483</v>
      </c>
      <c r="B384" t="s">
        <v>28</v>
      </c>
      <c r="C384" t="s">
        <v>13</v>
      </c>
      <c r="D384" t="s">
        <v>484</v>
      </c>
      <c r="E384" t="s">
        <v>485</v>
      </c>
      <c r="F384" t="s">
        <v>486</v>
      </c>
    </row>
    <row r="385" spans="1:6" hidden="1" x14ac:dyDescent="0.2">
      <c r="A385" t="s">
        <v>483</v>
      </c>
      <c r="B385" t="s">
        <v>47</v>
      </c>
      <c r="C385" t="s">
        <v>13</v>
      </c>
      <c r="D385" t="s">
        <v>484</v>
      </c>
      <c r="E385" t="s">
        <v>485</v>
      </c>
      <c r="F385" t="s">
        <v>486</v>
      </c>
    </row>
    <row r="386" spans="1:6" hidden="1" x14ac:dyDescent="0.2">
      <c r="A386" t="s">
        <v>483</v>
      </c>
      <c r="B386" t="s">
        <v>487</v>
      </c>
      <c r="C386" t="s">
        <v>13</v>
      </c>
      <c r="D386" t="s">
        <v>484</v>
      </c>
      <c r="E386" t="s">
        <v>485</v>
      </c>
      <c r="F386" t="s">
        <v>486</v>
      </c>
    </row>
    <row r="387" spans="1:6" hidden="1" x14ac:dyDescent="0.2">
      <c r="A387" t="s">
        <v>483</v>
      </c>
      <c r="B387" t="s">
        <v>20</v>
      </c>
      <c r="C387" t="s">
        <v>13</v>
      </c>
      <c r="D387" t="s">
        <v>484</v>
      </c>
      <c r="E387" t="s">
        <v>485</v>
      </c>
      <c r="F387" t="s">
        <v>486</v>
      </c>
    </row>
    <row r="388" spans="1:6" hidden="1" x14ac:dyDescent="0.2">
      <c r="A388" t="s">
        <v>483</v>
      </c>
      <c r="B388" t="s">
        <v>7</v>
      </c>
      <c r="C388" t="s">
        <v>13</v>
      </c>
      <c r="D388" t="s">
        <v>484</v>
      </c>
      <c r="E388" t="s">
        <v>485</v>
      </c>
      <c r="F388" t="s">
        <v>486</v>
      </c>
    </row>
    <row r="389" spans="1:6" hidden="1" x14ac:dyDescent="0.2">
      <c r="A389" t="s">
        <v>488</v>
      </c>
      <c r="B389" t="s">
        <v>7</v>
      </c>
      <c r="C389" t="s">
        <v>8</v>
      </c>
      <c r="D389" t="s">
        <v>489</v>
      </c>
      <c r="E389" t="s">
        <v>490</v>
      </c>
      <c r="F389" t="s">
        <v>491</v>
      </c>
    </row>
    <row r="390" spans="1:6" hidden="1" x14ac:dyDescent="0.2">
      <c r="A390" t="s">
        <v>488</v>
      </c>
      <c r="B390" t="s">
        <v>20</v>
      </c>
      <c r="C390" t="s">
        <v>13</v>
      </c>
      <c r="D390" t="s">
        <v>489</v>
      </c>
      <c r="E390" t="s">
        <v>490</v>
      </c>
      <c r="F390" t="s">
        <v>491</v>
      </c>
    </row>
    <row r="391" spans="1:6" hidden="1" x14ac:dyDescent="0.2">
      <c r="A391" t="s">
        <v>488</v>
      </c>
      <c r="B391" t="s">
        <v>50</v>
      </c>
      <c r="C391" t="s">
        <v>13</v>
      </c>
      <c r="D391" t="s">
        <v>489</v>
      </c>
      <c r="E391" t="s">
        <v>490</v>
      </c>
      <c r="F391" t="s">
        <v>491</v>
      </c>
    </row>
    <row r="392" spans="1:6" x14ac:dyDescent="0.2">
      <c r="A392" t="s">
        <v>488</v>
      </c>
      <c r="B392" t="s">
        <v>35</v>
      </c>
      <c r="C392" t="s">
        <v>13</v>
      </c>
      <c r="D392" t="s">
        <v>489</v>
      </c>
      <c r="E392" t="s">
        <v>490</v>
      </c>
      <c r="F392" t="s">
        <v>491</v>
      </c>
    </row>
    <row r="393" spans="1:6" hidden="1" x14ac:dyDescent="0.2">
      <c r="A393" t="s">
        <v>492</v>
      </c>
      <c r="B393" t="s">
        <v>20</v>
      </c>
      <c r="C393" t="s">
        <v>8</v>
      </c>
      <c r="D393" t="s">
        <v>493</v>
      </c>
      <c r="E393" t="s">
        <v>494</v>
      </c>
      <c r="F393" t="s">
        <v>495</v>
      </c>
    </row>
    <row r="394" spans="1:6" hidden="1" x14ac:dyDescent="0.2">
      <c r="A394" t="s">
        <v>492</v>
      </c>
      <c r="B394" t="s">
        <v>12</v>
      </c>
      <c r="C394" t="s">
        <v>13</v>
      </c>
      <c r="D394" t="s">
        <v>493</v>
      </c>
      <c r="E394" t="s">
        <v>494</v>
      </c>
      <c r="F394" t="s">
        <v>495</v>
      </c>
    </row>
    <row r="395" spans="1:6" hidden="1" x14ac:dyDescent="0.2">
      <c r="A395" t="s">
        <v>492</v>
      </c>
      <c r="B395" t="s">
        <v>30</v>
      </c>
      <c r="C395" t="s">
        <v>13</v>
      </c>
      <c r="D395" t="s">
        <v>493</v>
      </c>
      <c r="E395" t="s">
        <v>494</v>
      </c>
      <c r="F395" t="s">
        <v>495</v>
      </c>
    </row>
    <row r="396" spans="1:6" hidden="1" x14ac:dyDescent="0.2">
      <c r="A396" t="s">
        <v>492</v>
      </c>
      <c r="B396" t="s">
        <v>110</v>
      </c>
      <c r="C396" t="s">
        <v>13</v>
      </c>
      <c r="D396" t="s">
        <v>493</v>
      </c>
      <c r="E396" t="s">
        <v>494</v>
      </c>
      <c r="F396" t="s">
        <v>495</v>
      </c>
    </row>
    <row r="397" spans="1:6" hidden="1" x14ac:dyDescent="0.2">
      <c r="A397" t="s">
        <v>496</v>
      </c>
      <c r="B397" t="s">
        <v>327</v>
      </c>
      <c r="C397" t="s">
        <v>13</v>
      </c>
      <c r="D397" t="s">
        <v>497</v>
      </c>
      <c r="E397" t="s">
        <v>498</v>
      </c>
      <c r="F397" t="s">
        <v>499</v>
      </c>
    </row>
    <row r="398" spans="1:6" hidden="1" x14ac:dyDescent="0.2">
      <c r="A398" t="s">
        <v>496</v>
      </c>
      <c r="B398" t="s">
        <v>47</v>
      </c>
      <c r="C398" t="s">
        <v>13</v>
      </c>
      <c r="D398" t="s">
        <v>497</v>
      </c>
      <c r="E398" t="s">
        <v>498</v>
      </c>
      <c r="F398" t="s">
        <v>499</v>
      </c>
    </row>
    <row r="399" spans="1:6" hidden="1" x14ac:dyDescent="0.2">
      <c r="A399" t="s">
        <v>500</v>
      </c>
      <c r="B399" t="s">
        <v>20</v>
      </c>
      <c r="C399" t="s">
        <v>13</v>
      </c>
      <c r="D399" t="s">
        <v>501</v>
      </c>
      <c r="E399" t="s">
        <v>498</v>
      </c>
      <c r="F399" t="s">
        <v>499</v>
      </c>
    </row>
    <row r="400" spans="1:6" hidden="1" x14ac:dyDescent="0.2">
      <c r="A400" t="s">
        <v>500</v>
      </c>
      <c r="B400" t="s">
        <v>70</v>
      </c>
      <c r="C400" t="s">
        <v>13</v>
      </c>
      <c r="D400" t="s">
        <v>501</v>
      </c>
      <c r="E400" t="s">
        <v>498</v>
      </c>
      <c r="F400" t="s">
        <v>499</v>
      </c>
    </row>
    <row r="401" spans="1:6" hidden="1" x14ac:dyDescent="0.2">
      <c r="A401" t="s">
        <v>500</v>
      </c>
      <c r="B401" t="s">
        <v>71</v>
      </c>
      <c r="C401" t="s">
        <v>13</v>
      </c>
      <c r="D401" t="s">
        <v>501</v>
      </c>
      <c r="E401" t="s">
        <v>498</v>
      </c>
      <c r="F401" t="s">
        <v>499</v>
      </c>
    </row>
    <row r="402" spans="1:6" hidden="1" x14ac:dyDescent="0.2">
      <c r="A402" t="s">
        <v>500</v>
      </c>
      <c r="B402" t="s">
        <v>502</v>
      </c>
      <c r="C402" t="s">
        <v>13</v>
      </c>
      <c r="D402" t="s">
        <v>501</v>
      </c>
      <c r="E402" t="s">
        <v>498</v>
      </c>
      <c r="F402" t="s">
        <v>499</v>
      </c>
    </row>
    <row r="403" spans="1:6" hidden="1" x14ac:dyDescent="0.2">
      <c r="A403" t="s">
        <v>503</v>
      </c>
      <c r="B403" t="s">
        <v>58</v>
      </c>
      <c r="C403" t="s">
        <v>13</v>
      </c>
      <c r="D403" t="s">
        <v>504</v>
      </c>
      <c r="E403" t="s">
        <v>505</v>
      </c>
      <c r="F403" s="2">
        <v>45700</v>
      </c>
    </row>
    <row r="404" spans="1:6" hidden="1" x14ac:dyDescent="0.2">
      <c r="A404" t="s">
        <v>503</v>
      </c>
      <c r="B404" t="s">
        <v>506</v>
      </c>
      <c r="C404" t="s">
        <v>13</v>
      </c>
      <c r="D404" t="s">
        <v>504</v>
      </c>
      <c r="E404" t="s">
        <v>505</v>
      </c>
      <c r="F404" s="2">
        <v>45714</v>
      </c>
    </row>
    <row r="405" spans="1:6" hidden="1" x14ac:dyDescent="0.2">
      <c r="A405" t="s">
        <v>503</v>
      </c>
      <c r="B405" t="s">
        <v>7</v>
      </c>
      <c r="C405" t="s">
        <v>13</v>
      </c>
      <c r="D405" t="s">
        <v>504</v>
      </c>
      <c r="E405" t="s">
        <v>505</v>
      </c>
      <c r="F405" s="2">
        <v>45714</v>
      </c>
    </row>
    <row r="406" spans="1:6" hidden="1" x14ac:dyDescent="0.2">
      <c r="A406" t="s">
        <v>507</v>
      </c>
      <c r="B406" t="s">
        <v>7</v>
      </c>
      <c r="C406" t="s">
        <v>13</v>
      </c>
      <c r="D406" t="s">
        <v>508</v>
      </c>
      <c r="E406" t="s">
        <v>509</v>
      </c>
      <c r="F406" t="s">
        <v>510</v>
      </c>
    </row>
    <row r="407" spans="1:6" hidden="1" x14ac:dyDescent="0.2">
      <c r="A407" t="s">
        <v>507</v>
      </c>
      <c r="B407" t="s">
        <v>322</v>
      </c>
      <c r="C407" t="s">
        <v>13</v>
      </c>
      <c r="D407" t="s">
        <v>508</v>
      </c>
      <c r="E407" t="s">
        <v>509</v>
      </c>
      <c r="F407" t="s">
        <v>510</v>
      </c>
    </row>
    <row r="408" spans="1:6" hidden="1" x14ac:dyDescent="0.2">
      <c r="A408" t="s">
        <v>511</v>
      </c>
      <c r="B408" t="s">
        <v>7</v>
      </c>
      <c r="C408" t="s">
        <v>13</v>
      </c>
      <c r="D408" t="s">
        <v>512</v>
      </c>
      <c r="E408" t="s">
        <v>513</v>
      </c>
      <c r="F408" t="s">
        <v>514</v>
      </c>
    </row>
    <row r="409" spans="1:6" hidden="1" x14ac:dyDescent="0.2">
      <c r="A409" t="s">
        <v>511</v>
      </c>
      <c r="B409" t="s">
        <v>76</v>
      </c>
      <c r="C409" t="s">
        <v>13</v>
      </c>
      <c r="D409" t="s">
        <v>512</v>
      </c>
      <c r="E409" t="s">
        <v>513</v>
      </c>
      <c r="F409" t="s">
        <v>514</v>
      </c>
    </row>
    <row r="410" spans="1:6" hidden="1" x14ac:dyDescent="0.2">
      <c r="A410" t="s">
        <v>515</v>
      </c>
      <c r="B410" t="s">
        <v>322</v>
      </c>
      <c r="C410" t="s">
        <v>13</v>
      </c>
      <c r="D410" t="s">
        <v>516</v>
      </c>
      <c r="E410" t="s">
        <v>517</v>
      </c>
      <c r="F410" t="s">
        <v>518</v>
      </c>
    </row>
    <row r="411" spans="1:6" hidden="1" x14ac:dyDescent="0.2">
      <c r="A411" t="s">
        <v>515</v>
      </c>
      <c r="B411" t="s">
        <v>50</v>
      </c>
      <c r="C411" t="s">
        <v>13</v>
      </c>
      <c r="D411" t="s">
        <v>516</v>
      </c>
      <c r="E411" t="s">
        <v>517</v>
      </c>
      <c r="F411" t="s">
        <v>518</v>
      </c>
    </row>
    <row r="412" spans="1:6" hidden="1" x14ac:dyDescent="0.2">
      <c r="A412" t="s">
        <v>519</v>
      </c>
      <c r="B412" t="s">
        <v>110</v>
      </c>
      <c r="C412" t="s">
        <v>13</v>
      </c>
      <c r="D412" t="s">
        <v>520</v>
      </c>
      <c r="E412" t="s">
        <v>517</v>
      </c>
      <c r="F412" t="s">
        <v>518</v>
      </c>
    </row>
    <row r="413" spans="1:6" hidden="1" x14ac:dyDescent="0.2">
      <c r="A413" t="s">
        <v>521</v>
      </c>
      <c r="B413" t="s">
        <v>7</v>
      </c>
      <c r="C413" t="s">
        <v>8</v>
      </c>
      <c r="D413" t="s">
        <v>522</v>
      </c>
      <c r="E413" t="s">
        <v>523</v>
      </c>
      <c r="F413" t="s">
        <v>524</v>
      </c>
    </row>
    <row r="414" spans="1:6" hidden="1" x14ac:dyDescent="0.2">
      <c r="A414" t="s">
        <v>521</v>
      </c>
      <c r="B414" t="s">
        <v>20</v>
      </c>
      <c r="C414" t="s">
        <v>13</v>
      </c>
      <c r="D414" t="s">
        <v>522</v>
      </c>
      <c r="E414" t="s">
        <v>523</v>
      </c>
      <c r="F414" t="s">
        <v>524</v>
      </c>
    </row>
    <row r="415" spans="1:6" x14ac:dyDescent="0.2">
      <c r="A415" t="s">
        <v>521</v>
      </c>
      <c r="B415" t="s">
        <v>35</v>
      </c>
      <c r="C415" t="s">
        <v>13</v>
      </c>
      <c r="D415" t="s">
        <v>522</v>
      </c>
      <c r="E415" t="s">
        <v>523</v>
      </c>
      <c r="F415" t="s">
        <v>524</v>
      </c>
    </row>
    <row r="416" spans="1:6" hidden="1" x14ac:dyDescent="0.2">
      <c r="A416" t="s">
        <v>521</v>
      </c>
      <c r="B416" t="s">
        <v>95</v>
      </c>
      <c r="C416" t="s">
        <v>13</v>
      </c>
      <c r="D416" t="s">
        <v>522</v>
      </c>
      <c r="E416" t="s">
        <v>523</v>
      </c>
      <c r="F416" t="s">
        <v>524</v>
      </c>
    </row>
    <row r="417" spans="1:6" hidden="1" x14ac:dyDescent="0.2">
      <c r="A417" t="s">
        <v>525</v>
      </c>
      <c r="B417" t="s">
        <v>50</v>
      </c>
      <c r="C417" t="s">
        <v>13</v>
      </c>
      <c r="D417" t="s">
        <v>526</v>
      </c>
      <c r="E417" t="s">
        <v>527</v>
      </c>
      <c r="F417" t="s">
        <v>528</v>
      </c>
    </row>
    <row r="418" spans="1:6" hidden="1" x14ac:dyDescent="0.2">
      <c r="A418" t="s">
        <v>525</v>
      </c>
      <c r="B418" t="s">
        <v>29</v>
      </c>
      <c r="C418" t="s">
        <v>13</v>
      </c>
      <c r="D418" t="s">
        <v>526</v>
      </c>
      <c r="E418" t="s">
        <v>527</v>
      </c>
      <c r="F418" t="s">
        <v>528</v>
      </c>
    </row>
    <row r="419" spans="1:6" hidden="1" x14ac:dyDescent="0.2">
      <c r="A419" t="s">
        <v>529</v>
      </c>
      <c r="B419" t="s">
        <v>20</v>
      </c>
      <c r="C419" t="s">
        <v>13</v>
      </c>
      <c r="D419" t="s">
        <v>530</v>
      </c>
      <c r="E419" t="s">
        <v>531</v>
      </c>
      <c r="F419" t="s">
        <v>532</v>
      </c>
    </row>
    <row r="420" spans="1:6" hidden="1" x14ac:dyDescent="0.2">
      <c r="A420" t="s">
        <v>529</v>
      </c>
      <c r="B420" t="s">
        <v>17</v>
      </c>
      <c r="C420" t="s">
        <v>13</v>
      </c>
      <c r="D420" t="s">
        <v>530</v>
      </c>
      <c r="E420" t="s">
        <v>531</v>
      </c>
      <c r="F420" t="s">
        <v>532</v>
      </c>
    </row>
    <row r="421" spans="1:6" hidden="1" x14ac:dyDescent="0.2">
      <c r="A421" t="s">
        <v>533</v>
      </c>
      <c r="B421" t="s">
        <v>20</v>
      </c>
      <c r="C421" t="s">
        <v>13</v>
      </c>
      <c r="D421" t="s">
        <v>534</v>
      </c>
      <c r="E421" t="s">
        <v>535</v>
      </c>
      <c r="F421" t="s">
        <v>536</v>
      </c>
    </row>
    <row r="422" spans="1:6" hidden="1" x14ac:dyDescent="0.2">
      <c r="A422" t="s">
        <v>533</v>
      </c>
      <c r="B422" t="s">
        <v>7</v>
      </c>
      <c r="C422" t="s">
        <v>13</v>
      </c>
      <c r="D422" t="s">
        <v>534</v>
      </c>
      <c r="E422" t="s">
        <v>535</v>
      </c>
      <c r="F422" t="s">
        <v>536</v>
      </c>
    </row>
    <row r="423" spans="1:6" hidden="1" x14ac:dyDescent="0.2">
      <c r="A423" t="s">
        <v>533</v>
      </c>
      <c r="B423" t="s">
        <v>38</v>
      </c>
      <c r="C423" t="s">
        <v>13</v>
      </c>
      <c r="D423" t="s">
        <v>534</v>
      </c>
      <c r="E423" t="s">
        <v>535</v>
      </c>
      <c r="F423" t="s">
        <v>536</v>
      </c>
    </row>
    <row r="424" spans="1:6" hidden="1" x14ac:dyDescent="0.2">
      <c r="A424" t="s">
        <v>537</v>
      </c>
      <c r="B424" t="s">
        <v>7</v>
      </c>
      <c r="C424" t="s">
        <v>13</v>
      </c>
      <c r="D424" t="s">
        <v>538</v>
      </c>
      <c r="E424" t="s">
        <v>539</v>
      </c>
      <c r="F424" t="s">
        <v>540</v>
      </c>
    </row>
    <row r="425" spans="1:6" hidden="1" x14ac:dyDescent="0.2">
      <c r="A425" t="s">
        <v>537</v>
      </c>
      <c r="B425" t="s">
        <v>502</v>
      </c>
      <c r="C425" t="s">
        <v>13</v>
      </c>
      <c r="D425" t="s">
        <v>538</v>
      </c>
      <c r="E425" t="s">
        <v>539</v>
      </c>
      <c r="F425" t="s">
        <v>540</v>
      </c>
    </row>
    <row r="426" spans="1:6" hidden="1" x14ac:dyDescent="0.2">
      <c r="A426" t="s">
        <v>541</v>
      </c>
      <c r="B426" t="s">
        <v>20</v>
      </c>
      <c r="C426" t="s">
        <v>8</v>
      </c>
      <c r="D426" t="s">
        <v>542</v>
      </c>
      <c r="E426" t="s">
        <v>539</v>
      </c>
      <c r="F426" t="s">
        <v>543</v>
      </c>
    </row>
    <row r="427" spans="1:6" hidden="1" x14ac:dyDescent="0.2">
      <c r="A427" t="s">
        <v>541</v>
      </c>
      <c r="B427" t="s">
        <v>429</v>
      </c>
      <c r="C427" t="s">
        <v>8</v>
      </c>
      <c r="D427" t="s">
        <v>542</v>
      </c>
      <c r="E427" t="s">
        <v>539</v>
      </c>
      <c r="F427" t="s">
        <v>540</v>
      </c>
    </row>
    <row r="428" spans="1:6" hidden="1" x14ac:dyDescent="0.2">
      <c r="A428" t="s">
        <v>541</v>
      </c>
      <c r="B428" t="s">
        <v>12</v>
      </c>
      <c r="C428" t="s">
        <v>13</v>
      </c>
      <c r="D428" t="s">
        <v>542</v>
      </c>
      <c r="E428" t="s">
        <v>539</v>
      </c>
      <c r="F428" t="s">
        <v>540</v>
      </c>
    </row>
    <row r="429" spans="1:6" hidden="1" x14ac:dyDescent="0.2">
      <c r="A429" t="s">
        <v>544</v>
      </c>
      <c r="B429" t="s">
        <v>38</v>
      </c>
      <c r="C429" t="s">
        <v>13</v>
      </c>
      <c r="D429" t="s">
        <v>545</v>
      </c>
      <c r="E429" t="s">
        <v>546</v>
      </c>
      <c r="F429" t="s">
        <v>547</v>
      </c>
    </row>
    <row r="430" spans="1:6" hidden="1" x14ac:dyDescent="0.2">
      <c r="A430" t="s">
        <v>548</v>
      </c>
      <c r="B430" t="s">
        <v>58</v>
      </c>
      <c r="C430" t="s">
        <v>13</v>
      </c>
      <c r="D430" t="s">
        <v>549</v>
      </c>
      <c r="E430" t="s">
        <v>550</v>
      </c>
      <c r="F430" t="s">
        <v>551</v>
      </c>
    </row>
    <row r="431" spans="1:6" hidden="1" x14ac:dyDescent="0.2">
      <c r="A431" t="s">
        <v>548</v>
      </c>
      <c r="B431" t="s">
        <v>110</v>
      </c>
      <c r="C431" t="s">
        <v>13</v>
      </c>
      <c r="D431" t="s">
        <v>549</v>
      </c>
      <c r="E431" t="s">
        <v>550</v>
      </c>
      <c r="F431" t="s">
        <v>551</v>
      </c>
    </row>
    <row r="432" spans="1:6" hidden="1" x14ac:dyDescent="0.2">
      <c r="A432" t="s">
        <v>552</v>
      </c>
      <c r="B432" t="s">
        <v>7</v>
      </c>
      <c r="C432" t="s">
        <v>13</v>
      </c>
      <c r="D432" t="s">
        <v>553</v>
      </c>
      <c r="E432" t="s">
        <v>550</v>
      </c>
      <c r="F432" t="s">
        <v>551</v>
      </c>
    </row>
    <row r="433" spans="1:6" hidden="1" x14ac:dyDescent="0.2">
      <c r="A433" t="s">
        <v>552</v>
      </c>
      <c r="B433" t="s">
        <v>28</v>
      </c>
      <c r="C433" t="s">
        <v>13</v>
      </c>
      <c r="D433" t="s">
        <v>553</v>
      </c>
      <c r="E433" t="s">
        <v>550</v>
      </c>
      <c r="F433" t="s">
        <v>551</v>
      </c>
    </row>
    <row r="434" spans="1:6" hidden="1" x14ac:dyDescent="0.2">
      <c r="A434" t="s">
        <v>554</v>
      </c>
      <c r="B434" t="s">
        <v>360</v>
      </c>
      <c r="C434" t="s">
        <v>13</v>
      </c>
      <c r="D434" t="s">
        <v>555</v>
      </c>
      <c r="E434" t="s">
        <v>550</v>
      </c>
      <c r="F434" t="s">
        <v>551</v>
      </c>
    </row>
    <row r="435" spans="1:6" hidden="1" x14ac:dyDescent="0.2">
      <c r="A435" t="s">
        <v>554</v>
      </c>
      <c r="B435" t="s">
        <v>322</v>
      </c>
      <c r="C435" t="s">
        <v>13</v>
      </c>
      <c r="D435" t="s">
        <v>555</v>
      </c>
      <c r="E435" t="s">
        <v>550</v>
      </c>
      <c r="F435" t="s">
        <v>551</v>
      </c>
    </row>
    <row r="436" spans="1:6" hidden="1" x14ac:dyDescent="0.2">
      <c r="A436" t="s">
        <v>554</v>
      </c>
      <c r="B436" t="s">
        <v>7</v>
      </c>
      <c r="C436" t="s">
        <v>13</v>
      </c>
      <c r="D436" t="s">
        <v>555</v>
      </c>
      <c r="E436" t="s">
        <v>550</v>
      </c>
      <c r="F436" t="s">
        <v>551</v>
      </c>
    </row>
    <row r="437" spans="1:6" hidden="1" x14ac:dyDescent="0.2">
      <c r="A437" t="s">
        <v>556</v>
      </c>
      <c r="B437" t="s">
        <v>20</v>
      </c>
      <c r="C437" t="s">
        <v>13</v>
      </c>
      <c r="D437" t="s">
        <v>557</v>
      </c>
      <c r="E437" t="s">
        <v>558</v>
      </c>
      <c r="F437" t="s">
        <v>559</v>
      </c>
    </row>
    <row r="438" spans="1:6" hidden="1" x14ac:dyDescent="0.2">
      <c r="A438" t="s">
        <v>556</v>
      </c>
      <c r="B438" t="s">
        <v>58</v>
      </c>
      <c r="C438" t="s">
        <v>13</v>
      </c>
      <c r="D438" t="s">
        <v>557</v>
      </c>
      <c r="E438" t="s">
        <v>558</v>
      </c>
      <c r="F438" t="s">
        <v>559</v>
      </c>
    </row>
    <row r="439" spans="1:6" hidden="1" x14ac:dyDescent="0.2">
      <c r="A439" t="s">
        <v>556</v>
      </c>
      <c r="B439" t="s">
        <v>12</v>
      </c>
      <c r="C439" t="s">
        <v>13</v>
      </c>
      <c r="D439" t="s">
        <v>557</v>
      </c>
      <c r="E439" t="s">
        <v>558</v>
      </c>
      <c r="F439" t="s">
        <v>559</v>
      </c>
    </row>
    <row r="440" spans="1:6" hidden="1" x14ac:dyDescent="0.2">
      <c r="A440" t="s">
        <v>560</v>
      </c>
      <c r="B440" t="s">
        <v>30</v>
      </c>
      <c r="C440" t="s">
        <v>13</v>
      </c>
      <c r="D440" t="s">
        <v>561</v>
      </c>
      <c r="E440" t="s">
        <v>562</v>
      </c>
      <c r="F440" t="s">
        <v>563</v>
      </c>
    </row>
    <row r="441" spans="1:6" x14ac:dyDescent="0.2">
      <c r="A441" t="s">
        <v>560</v>
      </c>
      <c r="B441" t="s">
        <v>35</v>
      </c>
      <c r="C441" t="s">
        <v>13</v>
      </c>
      <c r="D441" t="s">
        <v>561</v>
      </c>
      <c r="E441" t="s">
        <v>562</v>
      </c>
      <c r="F441" t="s">
        <v>563</v>
      </c>
    </row>
    <row r="442" spans="1:6" hidden="1" x14ac:dyDescent="0.2">
      <c r="A442" t="s">
        <v>560</v>
      </c>
      <c r="B442" t="s">
        <v>564</v>
      </c>
      <c r="C442" t="s">
        <v>13</v>
      </c>
      <c r="D442" t="s">
        <v>561</v>
      </c>
      <c r="E442" t="s">
        <v>562</v>
      </c>
      <c r="F442" t="s">
        <v>563</v>
      </c>
    </row>
    <row r="443" spans="1:6" hidden="1" x14ac:dyDescent="0.2">
      <c r="A443" t="s">
        <v>565</v>
      </c>
      <c r="B443" t="s">
        <v>566</v>
      </c>
      <c r="C443" t="s">
        <v>13</v>
      </c>
      <c r="D443" t="s">
        <v>567</v>
      </c>
      <c r="E443" t="s">
        <v>562</v>
      </c>
      <c r="F443" t="s">
        <v>563</v>
      </c>
    </row>
    <row r="444" spans="1:6" hidden="1" x14ac:dyDescent="0.2">
      <c r="A444" t="s">
        <v>568</v>
      </c>
      <c r="B444" t="s">
        <v>20</v>
      </c>
      <c r="C444" t="s">
        <v>13</v>
      </c>
      <c r="D444" t="s">
        <v>569</v>
      </c>
      <c r="E444" t="s">
        <v>570</v>
      </c>
      <c r="F444" t="s">
        <v>571</v>
      </c>
    </row>
    <row r="445" spans="1:6" hidden="1" x14ac:dyDescent="0.2">
      <c r="A445" t="s">
        <v>568</v>
      </c>
      <c r="B445" t="s">
        <v>137</v>
      </c>
      <c r="C445" t="s">
        <v>13</v>
      </c>
      <c r="D445" t="s">
        <v>569</v>
      </c>
      <c r="E445" t="s">
        <v>570</v>
      </c>
      <c r="F445" t="s">
        <v>571</v>
      </c>
    </row>
    <row r="446" spans="1:6" hidden="1" x14ac:dyDescent="0.2">
      <c r="A446" t="s">
        <v>572</v>
      </c>
      <c r="B446" t="s">
        <v>28</v>
      </c>
      <c r="C446" t="s">
        <v>13</v>
      </c>
      <c r="D446" t="s">
        <v>573</v>
      </c>
      <c r="E446" t="s">
        <v>570</v>
      </c>
      <c r="F446" t="s">
        <v>571</v>
      </c>
    </row>
    <row r="447" spans="1:6" hidden="1" x14ac:dyDescent="0.2">
      <c r="A447" t="s">
        <v>572</v>
      </c>
      <c r="B447" t="s">
        <v>47</v>
      </c>
      <c r="C447" t="s">
        <v>13</v>
      </c>
      <c r="D447" t="s">
        <v>573</v>
      </c>
      <c r="E447" t="s">
        <v>570</v>
      </c>
      <c r="F447" t="s">
        <v>571</v>
      </c>
    </row>
    <row r="448" spans="1:6" hidden="1" x14ac:dyDescent="0.2">
      <c r="A448" t="s">
        <v>574</v>
      </c>
      <c r="B448" t="s">
        <v>254</v>
      </c>
      <c r="C448" t="s">
        <v>13</v>
      </c>
      <c r="D448" t="s">
        <v>575</v>
      </c>
      <c r="E448" t="s">
        <v>570</v>
      </c>
      <c r="F448" t="s">
        <v>571</v>
      </c>
    </row>
    <row r="449" spans="1:6" hidden="1" x14ac:dyDescent="0.2">
      <c r="A449" t="s">
        <v>576</v>
      </c>
      <c r="B449" t="s">
        <v>20</v>
      </c>
      <c r="C449" t="s">
        <v>13</v>
      </c>
      <c r="D449" t="s">
        <v>577</v>
      </c>
      <c r="E449" t="s">
        <v>578</v>
      </c>
      <c r="F449" t="s">
        <v>579</v>
      </c>
    </row>
    <row r="450" spans="1:6" hidden="1" x14ac:dyDescent="0.2">
      <c r="A450" t="s">
        <v>576</v>
      </c>
      <c r="B450" t="s">
        <v>30</v>
      </c>
      <c r="C450" t="s">
        <v>13</v>
      </c>
      <c r="D450" t="s">
        <v>577</v>
      </c>
      <c r="E450" t="s">
        <v>580</v>
      </c>
      <c r="F450" s="2">
        <v>45669</v>
      </c>
    </row>
    <row r="451" spans="1:6" hidden="1" x14ac:dyDescent="0.2">
      <c r="A451" t="s">
        <v>581</v>
      </c>
      <c r="B451" t="s">
        <v>582</v>
      </c>
      <c r="C451" t="s">
        <v>13</v>
      </c>
      <c r="D451" t="s">
        <v>583</v>
      </c>
      <c r="E451" t="s">
        <v>580</v>
      </c>
      <c r="F451" s="2">
        <v>45669</v>
      </c>
    </row>
    <row r="454" spans="1:6" x14ac:dyDescent="0.2">
      <c r="A454">
        <v>174</v>
      </c>
    </row>
  </sheetData>
  <autoFilter ref="A1:F451" xr:uid="{00000000-0001-0000-0000-000000000000}">
    <filterColumn colId="1">
      <filters>
        <filter val="ABCI Capital Limite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50" customWidth="1"/>
    <col min="2" max="2" width="27" customWidth="1"/>
    <col min="3" max="3" width="50" customWidth="1"/>
    <col min="4" max="4" width="22" customWidth="1"/>
    <col min="5" max="5" width="30" customWidth="1"/>
  </cols>
  <sheetData>
    <row r="1" spans="1:5" x14ac:dyDescent="0.2">
      <c r="A1" s="3" t="s">
        <v>1</v>
      </c>
      <c r="B1" s="3" t="s">
        <v>584</v>
      </c>
      <c r="C1" s="3" t="s">
        <v>585</v>
      </c>
      <c r="D1" s="3" t="s">
        <v>586</v>
      </c>
      <c r="E1" s="3" t="s">
        <v>587</v>
      </c>
    </row>
    <row r="2" spans="1:5" x14ac:dyDescent="0.2">
      <c r="A2" t="s">
        <v>149</v>
      </c>
      <c r="B2">
        <f>COUNTIF(RawData!B:B,A2)</f>
        <v>1</v>
      </c>
      <c r="C2">
        <f>COUNTIFS(RawData!B:B,A2,RawData!C:C,"*Sponsor*")</f>
        <v>0</v>
      </c>
      <c r="D2" s="4">
        <f t="shared" ref="D2:D32" si="0">IF(B2=0,0,C2/B2)</f>
        <v>0</v>
      </c>
      <c r="E2" s="4">
        <f>B2/(COUNTA(RawData!A:A)-1)</f>
        <v>2.2172949002217295E-3</v>
      </c>
    </row>
    <row r="3" spans="1:5" x14ac:dyDescent="0.2">
      <c r="A3" t="s">
        <v>506</v>
      </c>
      <c r="B3">
        <f>COUNTIF(RawData!B:B,A3)</f>
        <v>1</v>
      </c>
      <c r="C3">
        <f>COUNTIFS(RawData!B:B,A3,RawData!C:C,"*Sponsor*")</f>
        <v>0</v>
      </c>
      <c r="D3" s="4">
        <f t="shared" si="0"/>
        <v>0</v>
      </c>
      <c r="E3" s="4">
        <f>B3/(COUNTA(RawData!A:A)-1)</f>
        <v>2.2172949002217295E-3</v>
      </c>
    </row>
    <row r="4" spans="1:5" x14ac:dyDescent="0.2">
      <c r="A4" t="s">
        <v>35</v>
      </c>
      <c r="B4">
        <f>COUNTIF(RawData!B:B,A4)</f>
        <v>19</v>
      </c>
      <c r="C4">
        <f>COUNTIFS(RawData!B:B,A4,RawData!C:C,"*Sponsor*")</f>
        <v>5</v>
      </c>
      <c r="D4" s="4">
        <f t="shared" si="0"/>
        <v>0.26315789473684209</v>
      </c>
      <c r="E4" s="4">
        <f>B4/(COUNTA(RawData!A:A)-1)</f>
        <v>4.2128603104212861E-2</v>
      </c>
    </row>
    <row r="5" spans="1:5" x14ac:dyDescent="0.2">
      <c r="A5" t="s">
        <v>76</v>
      </c>
      <c r="B5">
        <f>COUNTIF(RawData!B:B,A5)</f>
        <v>5</v>
      </c>
      <c r="C5">
        <f>COUNTIFS(RawData!B:B,A5,RawData!C:C,"*Sponsor*")</f>
        <v>2</v>
      </c>
      <c r="D5" s="4">
        <f t="shared" si="0"/>
        <v>0.4</v>
      </c>
      <c r="E5" s="4">
        <f>B5/(COUNTA(RawData!A:A)-1)</f>
        <v>1.1086474501108648E-2</v>
      </c>
    </row>
    <row r="6" spans="1:5" x14ac:dyDescent="0.2">
      <c r="A6" t="s">
        <v>47</v>
      </c>
      <c r="B6">
        <f>COUNTIF(RawData!B:B,A6)</f>
        <v>10</v>
      </c>
      <c r="C6">
        <f>COUNTIFS(RawData!B:B,A6,RawData!C:C,"*Sponsor*")</f>
        <v>1</v>
      </c>
      <c r="D6" s="4">
        <f t="shared" si="0"/>
        <v>0.1</v>
      </c>
      <c r="E6" s="4">
        <f>B6/(COUNTA(RawData!A:A)-1)</f>
        <v>2.2172949002217297E-2</v>
      </c>
    </row>
    <row r="7" spans="1:5" x14ac:dyDescent="0.2">
      <c r="A7" t="s">
        <v>100</v>
      </c>
      <c r="B7">
        <f>COUNTIF(RawData!B:B,A7)</f>
        <v>5</v>
      </c>
      <c r="C7">
        <f>COUNTIFS(RawData!B:B,A7,RawData!C:C,"*Sponsor*")</f>
        <v>1</v>
      </c>
      <c r="D7" s="4">
        <f t="shared" si="0"/>
        <v>0.2</v>
      </c>
      <c r="E7" s="4">
        <f>B7/(COUNTA(RawData!A:A)-1)</f>
        <v>1.1086474501108648E-2</v>
      </c>
    </row>
    <row r="8" spans="1:5" x14ac:dyDescent="0.2">
      <c r="A8" t="s">
        <v>50</v>
      </c>
      <c r="B8">
        <f>COUNTIF(RawData!B:B,A8)</f>
        <v>24</v>
      </c>
      <c r="C8">
        <f>COUNTIFS(RawData!B:B,A8,RawData!C:C,"*Sponsor*")</f>
        <v>1</v>
      </c>
      <c r="D8" s="4">
        <f t="shared" si="0"/>
        <v>4.1666666666666664E-2</v>
      </c>
      <c r="E8" s="4">
        <f>B8/(COUNTA(RawData!A:A)-1)</f>
        <v>5.3215077605321508E-2</v>
      </c>
    </row>
    <row r="9" spans="1:5" x14ac:dyDescent="0.2">
      <c r="A9" t="s">
        <v>7</v>
      </c>
      <c r="B9">
        <f>COUNTIF(RawData!B:B,A9)</f>
        <v>69</v>
      </c>
      <c r="C9">
        <f>COUNTIFS(RawData!B:B,A9,RawData!C:C,"*Sponsor*")</f>
        <v>22</v>
      </c>
      <c r="D9" s="4">
        <f t="shared" si="0"/>
        <v>0.3188405797101449</v>
      </c>
      <c r="E9" s="4">
        <f>B9/(COUNTA(RawData!A:A)-1)</f>
        <v>0.15299334811529933</v>
      </c>
    </row>
    <row r="10" spans="1:5" x14ac:dyDescent="0.2">
      <c r="A10" t="s">
        <v>12</v>
      </c>
      <c r="B10">
        <f>COUNTIF(RawData!B:B,A10)</f>
        <v>27</v>
      </c>
      <c r="C10">
        <f>COUNTIFS(RawData!B:B,A10,RawData!C:C,"*Sponsor*")</f>
        <v>3</v>
      </c>
      <c r="D10" s="4">
        <f t="shared" si="0"/>
        <v>0.1111111111111111</v>
      </c>
      <c r="E10" s="4">
        <f>B10/(COUNTA(RawData!A:A)-1)</f>
        <v>5.9866962305986697E-2</v>
      </c>
    </row>
    <row r="11" spans="1:5" x14ac:dyDescent="0.2">
      <c r="A11" t="s">
        <v>327</v>
      </c>
      <c r="B11">
        <f>COUNTIF(RawData!B:B,A11)</f>
        <v>6</v>
      </c>
      <c r="C11">
        <f>COUNTIFS(RawData!B:B,A11,RawData!C:C,"*Sponsor*")</f>
        <v>2</v>
      </c>
      <c r="D11" s="4">
        <f t="shared" si="0"/>
        <v>0.33333333333333331</v>
      </c>
      <c r="E11" s="4">
        <f>B11/(COUNTA(RawData!A:A)-1)</f>
        <v>1.3303769401330377E-2</v>
      </c>
    </row>
    <row r="12" spans="1:5" x14ac:dyDescent="0.2">
      <c r="A12" t="s">
        <v>165</v>
      </c>
      <c r="B12">
        <f>COUNTIF(RawData!B:B,A12)</f>
        <v>2</v>
      </c>
      <c r="C12">
        <f>COUNTIFS(RawData!B:B,A12,RawData!C:C,"*Sponsor*")</f>
        <v>1</v>
      </c>
      <c r="D12" s="4">
        <f t="shared" si="0"/>
        <v>0.5</v>
      </c>
      <c r="E12" s="4">
        <f>B12/(COUNTA(RawData!A:A)-1)</f>
        <v>4.434589800443459E-3</v>
      </c>
    </row>
    <row r="13" spans="1:5" x14ac:dyDescent="0.2">
      <c r="A13" t="s">
        <v>95</v>
      </c>
      <c r="B13">
        <f>COUNTIF(RawData!B:B,A13)</f>
        <v>7</v>
      </c>
      <c r="C13">
        <f>COUNTIFS(RawData!B:B,A13,RawData!C:C,"*Sponsor*")</f>
        <v>0</v>
      </c>
      <c r="D13" s="4">
        <f t="shared" si="0"/>
        <v>0</v>
      </c>
      <c r="E13" s="4">
        <f>B13/(COUNTA(RawData!A:A)-1)</f>
        <v>1.5521064301552107E-2</v>
      </c>
    </row>
    <row r="14" spans="1:5" x14ac:dyDescent="0.2">
      <c r="A14" t="s">
        <v>254</v>
      </c>
      <c r="B14">
        <f>COUNTIF(RawData!B:B,A14)</f>
        <v>2</v>
      </c>
      <c r="C14">
        <f>COUNTIFS(RawData!B:B,A14,RawData!C:C,"*Sponsor*")</f>
        <v>0</v>
      </c>
      <c r="D14" s="4">
        <f t="shared" si="0"/>
        <v>0</v>
      </c>
      <c r="E14" s="4">
        <f>B14/(COUNTA(RawData!A:A)-1)</f>
        <v>4.434589800443459E-3</v>
      </c>
    </row>
    <row r="15" spans="1:5" x14ac:dyDescent="0.2">
      <c r="A15" t="s">
        <v>20</v>
      </c>
      <c r="B15">
        <f>COUNTIF(RawData!B:B,A15)</f>
        <v>58</v>
      </c>
      <c r="C15">
        <f>COUNTIFS(RawData!B:B,A15,RawData!C:C,"*Sponsor*")</f>
        <v>20</v>
      </c>
      <c r="D15" s="4">
        <f t="shared" si="0"/>
        <v>0.34482758620689657</v>
      </c>
      <c r="E15" s="4">
        <f>B15/(COUNTA(RawData!A:A)-1)</f>
        <v>0.12860310421286031</v>
      </c>
    </row>
    <row r="16" spans="1:5" x14ac:dyDescent="0.2">
      <c r="A16" t="s">
        <v>17</v>
      </c>
      <c r="B16">
        <f>COUNTIF(RawData!B:B,A16)</f>
        <v>12</v>
      </c>
      <c r="C16">
        <f>COUNTIFS(RawData!B:B,A16,RawData!C:C,"*Sponsor*")</f>
        <v>2</v>
      </c>
      <c r="D16" s="4">
        <f t="shared" si="0"/>
        <v>0.16666666666666666</v>
      </c>
      <c r="E16" s="4">
        <f>B16/(COUNTA(RawData!A:A)-1)</f>
        <v>2.6607538802660754E-2</v>
      </c>
    </row>
    <row r="17" spans="1:5" x14ac:dyDescent="0.2">
      <c r="A17" t="s">
        <v>58</v>
      </c>
      <c r="B17">
        <f>COUNTIF(RawData!B:B,A17)</f>
        <v>20</v>
      </c>
      <c r="C17">
        <f>COUNTIFS(RawData!B:B,A17,RawData!C:C,"*Sponsor*")</f>
        <v>4</v>
      </c>
      <c r="D17" s="4">
        <f t="shared" si="0"/>
        <v>0.2</v>
      </c>
      <c r="E17" s="4">
        <f>B17/(COUNTA(RawData!A:A)-1)</f>
        <v>4.4345898004434593E-2</v>
      </c>
    </row>
    <row r="18" spans="1:5" x14ac:dyDescent="0.2">
      <c r="A18" t="s">
        <v>26</v>
      </c>
      <c r="B18">
        <f>COUNTIF(RawData!B:B,A18)</f>
        <v>6</v>
      </c>
      <c r="C18">
        <f>COUNTIFS(RawData!B:B,A18,RawData!C:C,"*Sponsor*")</f>
        <v>2</v>
      </c>
      <c r="D18" s="4">
        <f t="shared" si="0"/>
        <v>0.33333333333333331</v>
      </c>
      <c r="E18" s="4">
        <f>B18/(COUNTA(RawData!A:A)-1)</f>
        <v>1.3303769401330377E-2</v>
      </c>
    </row>
    <row r="19" spans="1:5" x14ac:dyDescent="0.2">
      <c r="A19" t="s">
        <v>476</v>
      </c>
      <c r="B19">
        <f>COUNTIF(RawData!B:B,A19)</f>
        <v>1</v>
      </c>
      <c r="C19">
        <f>COUNTIFS(RawData!B:B,A19,RawData!C:C,"*Sponsor*")</f>
        <v>0</v>
      </c>
      <c r="D19" s="4">
        <f t="shared" si="0"/>
        <v>0</v>
      </c>
      <c r="E19" s="4">
        <f>B19/(COUNTA(RawData!A:A)-1)</f>
        <v>2.2172949002217295E-3</v>
      </c>
    </row>
    <row r="20" spans="1:5" x14ac:dyDescent="0.2">
      <c r="A20" t="s">
        <v>70</v>
      </c>
      <c r="B20">
        <f>COUNTIF(RawData!B:B,A20)</f>
        <v>5</v>
      </c>
      <c r="C20">
        <f>COUNTIFS(RawData!B:B,A20,RawData!C:C,"*Sponsor*")</f>
        <v>0</v>
      </c>
      <c r="D20" s="4">
        <f t="shared" si="0"/>
        <v>0</v>
      </c>
      <c r="E20" s="4">
        <f>B20/(COUNTA(RawData!A:A)-1)</f>
        <v>1.1086474501108648E-2</v>
      </c>
    </row>
    <row r="21" spans="1:5" x14ac:dyDescent="0.2">
      <c r="A21" t="s">
        <v>502</v>
      </c>
      <c r="B21">
        <f>COUNTIF(RawData!B:B,A21)</f>
        <v>2</v>
      </c>
      <c r="C21">
        <f>COUNTIFS(RawData!B:B,A21,RawData!C:C,"*Sponsor*")</f>
        <v>0</v>
      </c>
      <c r="D21" s="4">
        <f t="shared" si="0"/>
        <v>0</v>
      </c>
      <c r="E21" s="4">
        <f>B21/(COUNTA(RawData!A:A)-1)</f>
        <v>4.434589800443459E-3</v>
      </c>
    </row>
    <row r="22" spans="1:5" x14ac:dyDescent="0.2">
      <c r="A22" t="s">
        <v>49</v>
      </c>
      <c r="B22">
        <f>COUNTIF(RawData!B:B,A22)</f>
        <v>3</v>
      </c>
      <c r="C22">
        <f>COUNTIFS(RawData!B:B,A22,RawData!C:C,"*Sponsor*")</f>
        <v>0</v>
      </c>
      <c r="D22" s="4">
        <f t="shared" si="0"/>
        <v>0</v>
      </c>
      <c r="E22" s="4">
        <f>B22/(COUNTA(RawData!A:A)-1)</f>
        <v>6.6518847006651885E-3</v>
      </c>
    </row>
    <row r="23" spans="1:5" x14ac:dyDescent="0.2">
      <c r="A23" t="s">
        <v>32</v>
      </c>
      <c r="B23">
        <f>COUNTIF(RawData!B:B,A23)</f>
        <v>11</v>
      </c>
      <c r="C23">
        <f>COUNTIFS(RawData!B:B,A23,RawData!C:C,"*Sponsor*")</f>
        <v>2</v>
      </c>
      <c r="D23" s="4">
        <f t="shared" si="0"/>
        <v>0.18181818181818182</v>
      </c>
      <c r="E23" s="4">
        <f>B23/(COUNTA(RawData!A:A)-1)</f>
        <v>2.4390243902439025E-2</v>
      </c>
    </row>
    <row r="24" spans="1:5" x14ac:dyDescent="0.2">
      <c r="A24" t="s">
        <v>147</v>
      </c>
      <c r="B24">
        <f>COUNTIF(RawData!B:B,A24)</f>
        <v>2</v>
      </c>
      <c r="C24">
        <f>COUNTIFS(RawData!B:B,A24,RawData!C:C,"*Sponsor*")</f>
        <v>0</v>
      </c>
      <c r="D24" s="4">
        <f t="shared" si="0"/>
        <v>0</v>
      </c>
      <c r="E24" s="4">
        <f>B24/(COUNTA(RawData!A:A)-1)</f>
        <v>4.434589800443459E-3</v>
      </c>
    </row>
    <row r="25" spans="1:5" x14ac:dyDescent="0.2">
      <c r="A25" t="s">
        <v>38</v>
      </c>
      <c r="B25">
        <f>COUNTIF(RawData!B:B,A25)</f>
        <v>14</v>
      </c>
      <c r="C25">
        <f>COUNTIFS(RawData!B:B,A25,RawData!C:C,"*Sponsor*")</f>
        <v>3</v>
      </c>
      <c r="D25" s="4">
        <f t="shared" si="0"/>
        <v>0.21428571428571427</v>
      </c>
      <c r="E25" s="4">
        <f>B25/(COUNTA(RawData!A:A)-1)</f>
        <v>3.1042128603104215E-2</v>
      </c>
    </row>
    <row r="26" spans="1:5" x14ac:dyDescent="0.2">
      <c r="A26" t="s">
        <v>360</v>
      </c>
      <c r="B26">
        <f>COUNTIF(RawData!B:B,A26)</f>
        <v>3</v>
      </c>
      <c r="C26">
        <f>COUNTIFS(RawData!B:B,A26,RawData!C:C,"*Sponsor*")</f>
        <v>1</v>
      </c>
      <c r="D26" s="4">
        <f t="shared" si="0"/>
        <v>0.33333333333333331</v>
      </c>
      <c r="E26" s="4">
        <f>B26/(COUNTA(RawData!A:A)-1)</f>
        <v>6.6518847006651885E-3</v>
      </c>
    </row>
    <row r="27" spans="1:5" x14ac:dyDescent="0.2">
      <c r="A27" t="s">
        <v>79</v>
      </c>
      <c r="B27">
        <f>COUNTIF(RawData!B:B,A27)</f>
        <v>2</v>
      </c>
      <c r="C27">
        <f>COUNTIFS(RawData!B:B,A27,RawData!C:C,"*Sponsor*")</f>
        <v>0</v>
      </c>
      <c r="D27" s="4">
        <f t="shared" si="0"/>
        <v>0</v>
      </c>
      <c r="E27" s="4">
        <f>B27/(COUNTA(RawData!A:A)-1)</f>
        <v>4.434589800443459E-3</v>
      </c>
    </row>
    <row r="28" spans="1:5" x14ac:dyDescent="0.2">
      <c r="A28" t="s">
        <v>29</v>
      </c>
      <c r="B28">
        <f>COUNTIF(RawData!B:B,A28)</f>
        <v>14</v>
      </c>
      <c r="C28">
        <f>COUNTIFS(RawData!B:B,A28,RawData!C:C,"*Sponsor*")</f>
        <v>7</v>
      </c>
      <c r="D28" s="4">
        <f t="shared" si="0"/>
        <v>0.5</v>
      </c>
      <c r="E28" s="4">
        <f>B28/(COUNTA(RawData!A:A)-1)</f>
        <v>3.1042128603104215E-2</v>
      </c>
    </row>
    <row r="29" spans="1:5" x14ac:dyDescent="0.2">
      <c r="A29" t="s">
        <v>56</v>
      </c>
      <c r="B29">
        <f>COUNTIF(RawData!B:B,A29)</f>
        <v>3</v>
      </c>
      <c r="C29">
        <f>COUNTIFS(RawData!B:B,A29,RawData!C:C,"*Sponsor*")</f>
        <v>0</v>
      </c>
      <c r="D29" s="4">
        <f t="shared" si="0"/>
        <v>0</v>
      </c>
      <c r="E29" s="4">
        <f>B29/(COUNTA(RawData!A:A)-1)</f>
        <v>6.6518847006651885E-3</v>
      </c>
    </row>
    <row r="30" spans="1:5" x14ac:dyDescent="0.2">
      <c r="A30" t="s">
        <v>385</v>
      </c>
      <c r="B30">
        <f>COUNTIF(RawData!B:B,A30)</f>
        <v>1</v>
      </c>
      <c r="C30">
        <f>COUNTIFS(RawData!B:B,A30,RawData!C:C,"*Sponsor*")</f>
        <v>0</v>
      </c>
      <c r="D30" s="4">
        <f t="shared" si="0"/>
        <v>0</v>
      </c>
      <c r="E30" s="4">
        <f>B30/(COUNTA(RawData!A:A)-1)</f>
        <v>2.2172949002217295E-3</v>
      </c>
    </row>
    <row r="31" spans="1:5" x14ac:dyDescent="0.2">
      <c r="A31" t="s">
        <v>28</v>
      </c>
      <c r="B31">
        <f>COUNTIF(RawData!B:B,A31)</f>
        <v>13</v>
      </c>
      <c r="C31">
        <f>COUNTIFS(RawData!B:B,A31,RawData!C:C,"*Sponsor*")</f>
        <v>5</v>
      </c>
      <c r="D31" s="4">
        <f t="shared" si="0"/>
        <v>0.38461538461538464</v>
      </c>
      <c r="E31" s="4">
        <f>B31/(COUNTA(RawData!A:A)-1)</f>
        <v>2.8824833702882482E-2</v>
      </c>
    </row>
    <row r="32" spans="1:5" x14ac:dyDescent="0.2">
      <c r="A32" t="s">
        <v>30</v>
      </c>
      <c r="B32">
        <f>COUNTIF(RawData!B:B,A32)</f>
        <v>29</v>
      </c>
      <c r="C32">
        <f>COUNTIFS(RawData!B:B,A32,RawData!C:C,"*Sponsor*")</f>
        <v>10</v>
      </c>
      <c r="D32" s="4">
        <f t="shared" si="0"/>
        <v>0.34482758620689657</v>
      </c>
      <c r="E32" s="4">
        <f>B32/(COUNTA(RawData!A:A)-1)</f>
        <v>6.4301552106430154E-2</v>
      </c>
    </row>
    <row r="33" spans="1:5" x14ac:dyDescent="0.2">
      <c r="A33" t="s">
        <v>186</v>
      </c>
      <c r="B33">
        <f>COUNTIF(RawData!B:B,A33)</f>
        <v>8</v>
      </c>
      <c r="C33">
        <f>COUNTIFS(RawData!B:B,A33,RawData!C:C,"*Sponsor*")</f>
        <v>1</v>
      </c>
      <c r="D33" s="4">
        <f t="shared" ref="D33:D59" si="1">IF(B33=0,0,C33/B33)</f>
        <v>0.125</v>
      </c>
      <c r="E33" s="4">
        <f>B33/(COUNTA(RawData!A:A)-1)</f>
        <v>1.7738359201773836E-2</v>
      </c>
    </row>
    <row r="34" spans="1:5" x14ac:dyDescent="0.2">
      <c r="A34" t="s">
        <v>170</v>
      </c>
      <c r="B34">
        <f>COUNTIF(RawData!B:B,A34)</f>
        <v>1</v>
      </c>
      <c r="C34">
        <f>COUNTIFS(RawData!B:B,A34,RawData!C:C,"*Sponsor*")</f>
        <v>0</v>
      </c>
      <c r="D34" s="4">
        <f t="shared" si="1"/>
        <v>0</v>
      </c>
      <c r="E34" s="4">
        <f>B34/(COUNTA(RawData!A:A)-1)</f>
        <v>2.2172949002217295E-3</v>
      </c>
    </row>
    <row r="35" spans="1:5" x14ac:dyDescent="0.2">
      <c r="A35" t="s">
        <v>322</v>
      </c>
      <c r="B35">
        <f>COUNTIF(RawData!B:B,A35)</f>
        <v>5</v>
      </c>
      <c r="C35">
        <f>COUNTIFS(RawData!B:B,A35,RawData!C:C,"*Sponsor*")</f>
        <v>0</v>
      </c>
      <c r="D35" s="4">
        <f t="shared" si="1"/>
        <v>0</v>
      </c>
      <c r="E35" s="4">
        <f>B35/(COUNTA(RawData!A:A)-1)</f>
        <v>1.1086474501108648E-2</v>
      </c>
    </row>
    <row r="36" spans="1:5" x14ac:dyDescent="0.2">
      <c r="A36" t="s">
        <v>566</v>
      </c>
      <c r="B36">
        <f>COUNTIF(RawData!B:B,A36)</f>
        <v>1</v>
      </c>
      <c r="C36">
        <f>COUNTIFS(RawData!B:B,A36,RawData!C:C,"*Sponsor*")</f>
        <v>0</v>
      </c>
      <c r="D36" s="4">
        <f t="shared" si="1"/>
        <v>0</v>
      </c>
      <c r="E36" s="4">
        <f>B36/(COUNTA(RawData!A:A)-1)</f>
        <v>2.2172949002217295E-3</v>
      </c>
    </row>
    <row r="37" spans="1:5" x14ac:dyDescent="0.2">
      <c r="A37" t="s">
        <v>328</v>
      </c>
      <c r="B37">
        <f>COUNTIF(RawData!B:B,A37)</f>
        <v>3</v>
      </c>
      <c r="C37">
        <f>COUNTIFS(RawData!B:B,A37,RawData!C:C,"*Sponsor*")</f>
        <v>0</v>
      </c>
      <c r="D37" s="4">
        <f t="shared" si="1"/>
        <v>0</v>
      </c>
      <c r="E37" s="4">
        <f>B37/(COUNTA(RawData!A:A)-1)</f>
        <v>6.6518847006651885E-3</v>
      </c>
    </row>
    <row r="38" spans="1:5" x14ac:dyDescent="0.2">
      <c r="A38" t="s">
        <v>43</v>
      </c>
      <c r="B38">
        <f>COUNTIF(RawData!B:B,A38)</f>
        <v>2</v>
      </c>
      <c r="C38">
        <f>COUNTIFS(RawData!B:B,A38,RawData!C:C,"*Sponsor*")</f>
        <v>0</v>
      </c>
      <c r="D38" s="4">
        <f t="shared" si="1"/>
        <v>0</v>
      </c>
      <c r="E38" s="4">
        <f>B38/(COUNTA(RawData!A:A)-1)</f>
        <v>4.434589800443459E-3</v>
      </c>
    </row>
    <row r="39" spans="1:5" x14ac:dyDescent="0.2">
      <c r="A39" t="s">
        <v>354</v>
      </c>
      <c r="B39">
        <f>COUNTIF(RawData!B:B,A39)</f>
        <v>2</v>
      </c>
      <c r="C39">
        <f>COUNTIFS(RawData!B:B,A39,RawData!C:C,"*Sponsor*")</f>
        <v>0</v>
      </c>
      <c r="D39" s="4">
        <f t="shared" si="1"/>
        <v>0</v>
      </c>
      <c r="E39" s="4">
        <f>B39/(COUNTA(RawData!A:A)-1)</f>
        <v>4.434589800443459E-3</v>
      </c>
    </row>
    <row r="40" spans="1:5" x14ac:dyDescent="0.2">
      <c r="A40" t="s">
        <v>426</v>
      </c>
      <c r="B40">
        <f>COUNTIF(RawData!B:B,A40)</f>
        <v>2</v>
      </c>
      <c r="C40">
        <f>COUNTIFS(RawData!B:B,A40,RawData!C:C,"*Sponsor*")</f>
        <v>0</v>
      </c>
      <c r="D40" s="4">
        <f t="shared" si="1"/>
        <v>0</v>
      </c>
      <c r="E40" s="4">
        <f>B40/(COUNTA(RawData!A:A)-1)</f>
        <v>4.434589800443459E-3</v>
      </c>
    </row>
    <row r="41" spans="1:5" x14ac:dyDescent="0.2">
      <c r="A41" t="s">
        <v>48</v>
      </c>
      <c r="B41">
        <f>COUNTIF(RawData!B:B,A41)</f>
        <v>4</v>
      </c>
      <c r="C41">
        <f>COUNTIFS(RawData!B:B,A41,RawData!C:C,"*Sponsor*")</f>
        <v>1</v>
      </c>
      <c r="D41" s="4">
        <f t="shared" si="1"/>
        <v>0.25</v>
      </c>
      <c r="E41" s="4">
        <f>B41/(COUNTA(RawData!A:A)-1)</f>
        <v>8.869179600886918E-3</v>
      </c>
    </row>
    <row r="42" spans="1:5" x14ac:dyDescent="0.2">
      <c r="A42" t="s">
        <v>137</v>
      </c>
      <c r="B42">
        <f>COUNTIF(RawData!B:B,A42)</f>
        <v>3</v>
      </c>
      <c r="C42">
        <f>COUNTIFS(RawData!B:B,A42,RawData!C:C,"*Sponsor*")</f>
        <v>1</v>
      </c>
      <c r="D42" s="4">
        <f t="shared" si="1"/>
        <v>0.33333333333333331</v>
      </c>
      <c r="E42" s="4">
        <f>B42/(COUNTA(RawData!A:A)-1)</f>
        <v>6.6518847006651885E-3</v>
      </c>
    </row>
    <row r="43" spans="1:5" x14ac:dyDescent="0.2">
      <c r="A43" t="s">
        <v>158</v>
      </c>
      <c r="B43">
        <f>COUNTIF(RawData!B:B,A43)</f>
        <v>4</v>
      </c>
      <c r="C43">
        <f>COUNTIFS(RawData!B:B,A43,RawData!C:C,"*Sponsor*")</f>
        <v>0</v>
      </c>
      <c r="D43" s="4">
        <f t="shared" si="1"/>
        <v>0</v>
      </c>
      <c r="E43" s="4">
        <f>B43/(COUNTA(RawData!A:A)-1)</f>
        <v>8.869179600886918E-3</v>
      </c>
    </row>
    <row r="44" spans="1:5" x14ac:dyDescent="0.2">
      <c r="A44" t="s">
        <v>440</v>
      </c>
      <c r="B44">
        <f>COUNTIF(RawData!B:B,A44)</f>
        <v>1</v>
      </c>
      <c r="C44">
        <f>COUNTIFS(RawData!B:B,A44,RawData!C:C,"*Sponsor*")</f>
        <v>0</v>
      </c>
      <c r="D44" s="4">
        <f t="shared" si="1"/>
        <v>0</v>
      </c>
      <c r="E44" s="4">
        <f>B44/(COUNTA(RawData!A:A)-1)</f>
        <v>2.2172949002217295E-3</v>
      </c>
    </row>
    <row r="45" spans="1:5" x14ac:dyDescent="0.2">
      <c r="A45" t="s">
        <v>15</v>
      </c>
      <c r="B45">
        <f>COUNTIF(RawData!B:B,A45)</f>
        <v>1</v>
      </c>
      <c r="C45">
        <f>COUNTIFS(RawData!B:B,A45,RawData!C:C,"*Sponsor*")</f>
        <v>0</v>
      </c>
      <c r="D45" s="4">
        <f t="shared" si="1"/>
        <v>0</v>
      </c>
      <c r="E45" s="4">
        <f>B45/(COUNTA(RawData!A:A)-1)</f>
        <v>2.2172949002217295E-3</v>
      </c>
    </row>
    <row r="46" spans="1:5" x14ac:dyDescent="0.2">
      <c r="A46" t="s">
        <v>218</v>
      </c>
      <c r="B46">
        <f>COUNTIF(RawData!B:B,A46)</f>
        <v>3</v>
      </c>
      <c r="C46">
        <f>COUNTIFS(RawData!B:B,A46,RawData!C:C,"*Sponsor*")</f>
        <v>0</v>
      </c>
      <c r="D46" s="4">
        <f t="shared" si="1"/>
        <v>0</v>
      </c>
      <c r="E46" s="4">
        <f>B46/(COUNTA(RawData!A:A)-1)</f>
        <v>6.6518847006651885E-3</v>
      </c>
    </row>
    <row r="47" spans="1:5" x14ac:dyDescent="0.2">
      <c r="A47" t="s">
        <v>222</v>
      </c>
      <c r="B47">
        <f>COUNTIF(RawData!B:B,A47)</f>
        <v>5</v>
      </c>
      <c r="C47">
        <f>COUNTIFS(RawData!B:B,A47,RawData!C:C,"*Sponsor*")</f>
        <v>3</v>
      </c>
      <c r="D47" s="4">
        <f t="shared" si="1"/>
        <v>0.6</v>
      </c>
      <c r="E47" s="4">
        <f>B47/(COUNTA(RawData!A:A)-1)</f>
        <v>1.1086474501108648E-2</v>
      </c>
    </row>
    <row r="48" spans="1:5" x14ac:dyDescent="0.2">
      <c r="A48" t="s">
        <v>91</v>
      </c>
      <c r="B48">
        <f>COUNTIF(RawData!B:B,A48)</f>
        <v>1</v>
      </c>
      <c r="C48">
        <f>COUNTIFS(RawData!B:B,A48,RawData!C:C,"*Sponsor*")</f>
        <v>0</v>
      </c>
      <c r="D48" s="4">
        <f t="shared" si="1"/>
        <v>0</v>
      </c>
      <c r="E48" s="4">
        <f>B48/(COUNTA(RawData!A:A)-1)</f>
        <v>2.2172949002217295E-3</v>
      </c>
    </row>
    <row r="49" spans="1:5" x14ac:dyDescent="0.2">
      <c r="A49" t="s">
        <v>123</v>
      </c>
      <c r="B49">
        <f>COUNTIF(RawData!B:B,A49)</f>
        <v>2</v>
      </c>
      <c r="C49">
        <f>COUNTIFS(RawData!B:B,A49,RawData!C:C,"*Sponsor*")</f>
        <v>0</v>
      </c>
      <c r="D49" s="4">
        <f t="shared" si="1"/>
        <v>0</v>
      </c>
      <c r="E49" s="4">
        <f>B49/(COUNTA(RawData!A:A)-1)</f>
        <v>4.434589800443459E-3</v>
      </c>
    </row>
    <row r="50" spans="1:5" x14ac:dyDescent="0.2">
      <c r="A50" t="s">
        <v>110</v>
      </c>
      <c r="B50">
        <f>COUNTIF(RawData!B:B,A50)</f>
        <v>8</v>
      </c>
      <c r="C50">
        <f>COUNTIFS(RawData!B:B,A50,RawData!C:C,"*Sponsor*")</f>
        <v>0</v>
      </c>
      <c r="D50" s="4">
        <f t="shared" si="1"/>
        <v>0</v>
      </c>
      <c r="E50" s="4">
        <f>B50/(COUNTA(RawData!A:A)-1)</f>
        <v>1.7738359201773836E-2</v>
      </c>
    </row>
    <row r="51" spans="1:5" x14ac:dyDescent="0.2">
      <c r="A51" t="s">
        <v>299</v>
      </c>
      <c r="B51">
        <f>COUNTIF(RawData!B:B,A51)</f>
        <v>2</v>
      </c>
      <c r="C51">
        <f>COUNTIFS(RawData!B:B,A51,RawData!C:C,"*Sponsor*")</f>
        <v>0</v>
      </c>
      <c r="D51" s="4">
        <f t="shared" si="1"/>
        <v>0</v>
      </c>
      <c r="E51" s="4">
        <f>B51/(COUNTA(RawData!A:A)-1)</f>
        <v>4.434589800443459E-3</v>
      </c>
    </row>
    <row r="52" spans="1:5" x14ac:dyDescent="0.2">
      <c r="A52" t="s">
        <v>564</v>
      </c>
      <c r="B52">
        <f>COUNTIF(RawData!B:B,A52)</f>
        <v>1</v>
      </c>
      <c r="C52">
        <f>COUNTIFS(RawData!B:B,A52,RawData!C:C,"*Sponsor*")</f>
        <v>0</v>
      </c>
      <c r="D52" s="4">
        <f t="shared" si="1"/>
        <v>0</v>
      </c>
      <c r="E52" s="4">
        <f>B52/(COUNTA(RawData!A:A)-1)</f>
        <v>2.2172949002217295E-3</v>
      </c>
    </row>
    <row r="53" spans="1:5" x14ac:dyDescent="0.2">
      <c r="A53" t="s">
        <v>88</v>
      </c>
      <c r="B53">
        <f>COUNTIF(RawData!B:B,A53)</f>
        <v>4</v>
      </c>
      <c r="C53">
        <f>COUNTIFS(RawData!B:B,A53,RawData!C:C,"*Sponsor*")</f>
        <v>3</v>
      </c>
      <c r="D53" s="4">
        <f t="shared" si="1"/>
        <v>0.75</v>
      </c>
      <c r="E53" s="4">
        <f>B53/(COUNTA(RawData!A:A)-1)</f>
        <v>8.869179600886918E-3</v>
      </c>
    </row>
    <row r="54" spans="1:5" x14ac:dyDescent="0.2">
      <c r="A54" t="s">
        <v>429</v>
      </c>
      <c r="B54">
        <f>COUNTIF(RawData!B:B,A54)</f>
        <v>2</v>
      </c>
      <c r="C54">
        <f>COUNTIFS(RawData!B:B,A54,RawData!C:C,"*Sponsor*")</f>
        <v>1</v>
      </c>
      <c r="D54" s="4">
        <f t="shared" si="1"/>
        <v>0.5</v>
      </c>
      <c r="E54" s="4">
        <f>B54/(COUNTA(RawData!A:A)-1)</f>
        <v>4.434589800443459E-3</v>
      </c>
    </row>
    <row r="55" spans="1:5" x14ac:dyDescent="0.2">
      <c r="A55" t="s">
        <v>487</v>
      </c>
      <c r="B55">
        <f>COUNTIF(RawData!B:B,A55)</f>
        <v>1</v>
      </c>
      <c r="C55">
        <f>COUNTIFS(RawData!B:B,A55,RawData!C:C,"*Sponsor*")</f>
        <v>0</v>
      </c>
      <c r="D55" s="4">
        <f t="shared" si="1"/>
        <v>0</v>
      </c>
      <c r="E55" s="4">
        <f>B55/(COUNTA(RawData!A:A)-1)</f>
        <v>2.2172949002217295E-3</v>
      </c>
    </row>
    <row r="56" spans="1:5" x14ac:dyDescent="0.2">
      <c r="A56" t="s">
        <v>228</v>
      </c>
      <c r="B56">
        <f>COUNTIF(RawData!B:B,A56)</f>
        <v>1</v>
      </c>
      <c r="C56">
        <f>COUNTIFS(RawData!B:B,A56,RawData!C:C,"*Sponsor*")</f>
        <v>0</v>
      </c>
      <c r="D56" s="4">
        <f t="shared" si="1"/>
        <v>0</v>
      </c>
      <c r="E56" s="4">
        <f>B56/(COUNTA(RawData!A:A)-1)</f>
        <v>2.2172949002217295E-3</v>
      </c>
    </row>
    <row r="57" spans="1:5" x14ac:dyDescent="0.2">
      <c r="A57" t="s">
        <v>582</v>
      </c>
      <c r="B57">
        <f>COUNTIF(RawData!B:B,A57)</f>
        <v>1</v>
      </c>
      <c r="C57">
        <f>COUNTIFS(RawData!B:B,A57,RawData!C:C,"*Sponsor*")</f>
        <v>0</v>
      </c>
      <c r="D57" s="4">
        <f t="shared" si="1"/>
        <v>0</v>
      </c>
      <c r="E57" s="4">
        <f>B57/(COUNTA(RawData!A:A)-1)</f>
        <v>2.2172949002217295E-3</v>
      </c>
    </row>
    <row r="58" spans="1:5" x14ac:dyDescent="0.2">
      <c r="A58" t="s">
        <v>142</v>
      </c>
      <c r="B58">
        <f>COUNTIF(RawData!B:B,A58)</f>
        <v>1</v>
      </c>
      <c r="C58">
        <f>COUNTIFS(RawData!B:B,A58,RawData!C:C,"*Sponsor*")</f>
        <v>0</v>
      </c>
      <c r="D58" s="4">
        <f t="shared" si="1"/>
        <v>0</v>
      </c>
      <c r="E58" s="4">
        <f>B58/(COUNTA(RawData!A:A)-1)</f>
        <v>2.2172949002217295E-3</v>
      </c>
    </row>
    <row r="59" spans="1:5" x14ac:dyDescent="0.2">
      <c r="A59" t="s">
        <v>71</v>
      </c>
      <c r="B59">
        <f>COUNTIF(RawData!B:B,A59)</f>
        <v>4</v>
      </c>
      <c r="C59">
        <f>COUNTIFS(RawData!B:B,A59,RawData!C:C,"*Sponsor*")</f>
        <v>0</v>
      </c>
      <c r="D59" s="4">
        <f t="shared" si="1"/>
        <v>0</v>
      </c>
      <c r="E59" s="4">
        <f>B59/(COUNTA(RawData!A:A)-1)</f>
        <v>8.869179600886918E-3</v>
      </c>
    </row>
    <row r="62" spans="1:5" x14ac:dyDescent="0.2">
      <c r="A62" s="5" t="s">
        <v>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topLeftCell="A4" workbookViewId="0">
      <selection activeCell="C14" sqref="C14"/>
    </sheetView>
  </sheetViews>
  <sheetFormatPr baseColWidth="10" defaultColWidth="8.83203125" defaultRowHeight="15" x14ac:dyDescent="0.2"/>
  <cols>
    <col min="1" max="2" width="50" customWidth="1"/>
    <col min="3" max="3" width="16" customWidth="1"/>
  </cols>
  <sheetData>
    <row r="1" spans="1:5" ht="19" x14ac:dyDescent="0.25">
      <c r="A1" s="10" t="s">
        <v>589</v>
      </c>
      <c r="B1" s="11"/>
      <c r="C1" s="11"/>
      <c r="D1" s="11"/>
      <c r="E1" s="11"/>
    </row>
    <row r="3" spans="1:5" ht="16" x14ac:dyDescent="0.2">
      <c r="A3" s="12" t="s">
        <v>590</v>
      </c>
      <c r="B3" s="11"/>
      <c r="C3" s="11"/>
    </row>
    <row r="4" spans="1:5" x14ac:dyDescent="0.2">
      <c r="A4" t="s">
        <v>591</v>
      </c>
      <c r="B4">
        <f>COUNTIF(RawData!B:B,"Huatai Financial Holdings (Hong Kong) Limited")</f>
        <v>29</v>
      </c>
    </row>
    <row r="5" spans="1:5" x14ac:dyDescent="0.2">
      <c r="A5" t="s">
        <v>592</v>
      </c>
      <c r="B5">
        <f>COUNTIFS(RawData!B:B,"Huatai Financial Holdings (Hong Kong) Limited",RawData!C:C,"*Sponsor*")</f>
        <v>10</v>
      </c>
    </row>
    <row r="7" spans="1:5" x14ac:dyDescent="0.2">
      <c r="A7" s="1" t="s">
        <v>593</v>
      </c>
    </row>
    <row r="8" spans="1:5" x14ac:dyDescent="0.2">
      <c r="A8" t="s">
        <v>20</v>
      </c>
      <c r="B8">
        <v>12</v>
      </c>
      <c r="C8" t="s">
        <v>594</v>
      </c>
    </row>
    <row r="9" spans="1:5" x14ac:dyDescent="0.2">
      <c r="A9" t="s">
        <v>7</v>
      </c>
      <c r="B9">
        <v>9</v>
      </c>
      <c r="C9" t="s">
        <v>594</v>
      </c>
    </row>
    <row r="10" spans="1:5" x14ac:dyDescent="0.2">
      <c r="A10" t="s">
        <v>35</v>
      </c>
      <c r="B10">
        <v>5</v>
      </c>
      <c r="C10" t="s">
        <v>594</v>
      </c>
    </row>
    <row r="11" spans="1:5" x14ac:dyDescent="0.2">
      <c r="A11" t="s">
        <v>50</v>
      </c>
      <c r="B11">
        <v>5</v>
      </c>
      <c r="C11" t="s">
        <v>594</v>
      </c>
    </row>
    <row r="12" spans="1:5" x14ac:dyDescent="0.2">
      <c r="A12" t="s">
        <v>38</v>
      </c>
      <c r="B12">
        <v>5</v>
      </c>
      <c r="C12" t="s">
        <v>594</v>
      </c>
    </row>
    <row r="15" spans="1:5" ht="16" x14ac:dyDescent="0.2">
      <c r="A15" s="12" t="s">
        <v>595</v>
      </c>
      <c r="B15" s="11"/>
      <c r="C15" s="11"/>
    </row>
    <row r="16" spans="1:5" x14ac:dyDescent="0.2">
      <c r="A16" t="s">
        <v>591</v>
      </c>
      <c r="B16">
        <f>COUNTIF(RawData!B:B,"Morgan Stanley Asia Limited")</f>
        <v>4</v>
      </c>
    </row>
    <row r="17" spans="1:3" x14ac:dyDescent="0.2">
      <c r="A17" t="s">
        <v>592</v>
      </c>
      <c r="B17">
        <f>COUNTIFS(RawData!B:B,"Morgan Stanley Asia Limited",RawData!C:C,"*Sponsor*")</f>
        <v>1</v>
      </c>
    </row>
    <row r="19" spans="1:3" x14ac:dyDescent="0.2">
      <c r="A19" s="1" t="s">
        <v>593</v>
      </c>
    </row>
    <row r="20" spans="1:3" x14ac:dyDescent="0.2">
      <c r="A20" t="s">
        <v>35</v>
      </c>
      <c r="B20">
        <v>2</v>
      </c>
      <c r="C20" t="s">
        <v>594</v>
      </c>
    </row>
    <row r="21" spans="1:3" x14ac:dyDescent="0.2">
      <c r="A21" t="s">
        <v>30</v>
      </c>
      <c r="B21">
        <v>2</v>
      </c>
      <c r="C21" t="s">
        <v>594</v>
      </c>
    </row>
    <row r="22" spans="1:3" x14ac:dyDescent="0.2">
      <c r="A22" t="s">
        <v>7</v>
      </c>
      <c r="B22">
        <v>2</v>
      </c>
      <c r="C22" t="s">
        <v>594</v>
      </c>
    </row>
    <row r="23" spans="1:3" x14ac:dyDescent="0.2">
      <c r="A23" t="s">
        <v>47</v>
      </c>
      <c r="B23">
        <v>1</v>
      </c>
      <c r="C23" t="s">
        <v>594</v>
      </c>
    </row>
    <row r="24" spans="1:3" x14ac:dyDescent="0.2">
      <c r="A24" t="s">
        <v>49</v>
      </c>
      <c r="B24">
        <v>1</v>
      </c>
      <c r="C24" t="s">
        <v>594</v>
      </c>
    </row>
    <row r="27" spans="1:3" ht="16" x14ac:dyDescent="0.2">
      <c r="A27" s="12" t="s">
        <v>596</v>
      </c>
      <c r="B27" s="11"/>
      <c r="C27" s="11"/>
    </row>
    <row r="28" spans="1:3" x14ac:dyDescent="0.2">
      <c r="A28" t="s">
        <v>591</v>
      </c>
      <c r="B28">
        <f>COUNTIF(RawData!B:B,"Merrill Lynch (Asia Pacific) Limited")</f>
        <v>2</v>
      </c>
    </row>
    <row r="29" spans="1:3" x14ac:dyDescent="0.2">
      <c r="A29" t="s">
        <v>592</v>
      </c>
      <c r="B29">
        <f>COUNTIFS(RawData!B:B,"Merrill Lynch (Asia Pacific) Limited",RawData!C:C,"*Sponsor*")</f>
        <v>0</v>
      </c>
    </row>
    <row r="31" spans="1:3" x14ac:dyDescent="0.2">
      <c r="A31" s="1" t="s">
        <v>593</v>
      </c>
    </row>
    <row r="32" spans="1:3" x14ac:dyDescent="0.2">
      <c r="A32" t="s">
        <v>28</v>
      </c>
      <c r="B32">
        <v>1</v>
      </c>
      <c r="C32" t="s">
        <v>594</v>
      </c>
    </row>
    <row r="33" spans="1:5" x14ac:dyDescent="0.2">
      <c r="A33" t="s">
        <v>429</v>
      </c>
      <c r="B33">
        <v>1</v>
      </c>
      <c r="C33" t="s">
        <v>594</v>
      </c>
    </row>
    <row r="34" spans="1:5" x14ac:dyDescent="0.2">
      <c r="A34" t="s">
        <v>30</v>
      </c>
      <c r="B34">
        <v>1</v>
      </c>
      <c r="C34" t="s">
        <v>594</v>
      </c>
    </row>
    <row r="35" spans="1:5" x14ac:dyDescent="0.2">
      <c r="A35" t="s">
        <v>360</v>
      </c>
      <c r="B35">
        <v>1</v>
      </c>
      <c r="C35" t="s">
        <v>594</v>
      </c>
    </row>
    <row r="36" spans="1:5" x14ac:dyDescent="0.2">
      <c r="A36" t="s">
        <v>322</v>
      </c>
      <c r="B36">
        <v>1</v>
      </c>
      <c r="C36" t="s">
        <v>594</v>
      </c>
    </row>
    <row r="39" spans="1:5" ht="16" x14ac:dyDescent="0.2">
      <c r="A39" s="6" t="s">
        <v>597</v>
      </c>
    </row>
    <row r="41" spans="1:5" x14ac:dyDescent="0.2">
      <c r="A41" s="11" t="s">
        <v>598</v>
      </c>
      <c r="B41" s="11"/>
      <c r="C41" s="11"/>
      <c r="D41" s="11"/>
      <c r="E41" s="11"/>
    </row>
    <row r="42" spans="1:5" x14ac:dyDescent="0.2">
      <c r="A42" s="11" t="s">
        <v>599</v>
      </c>
      <c r="B42" s="11"/>
      <c r="C42" s="11"/>
      <c r="D42" s="11"/>
      <c r="E42" s="11"/>
    </row>
    <row r="43" spans="1:5" x14ac:dyDescent="0.2">
      <c r="A43" s="11" t="s">
        <v>600</v>
      </c>
      <c r="B43" s="11"/>
      <c r="C43" s="11"/>
      <c r="D43" s="11"/>
      <c r="E43" s="11"/>
    </row>
    <row r="44" spans="1:5" x14ac:dyDescent="0.2">
      <c r="A44" s="11" t="s">
        <v>601</v>
      </c>
      <c r="B44" s="11"/>
      <c r="C44" s="11"/>
      <c r="D44" s="11"/>
      <c r="E44" s="11"/>
    </row>
    <row r="45" spans="1:5" x14ac:dyDescent="0.2">
      <c r="A45" s="11" t="s">
        <v>602</v>
      </c>
      <c r="B45" s="11"/>
      <c r="C45" s="11"/>
      <c r="D45" s="11"/>
      <c r="E45" s="11"/>
    </row>
  </sheetData>
  <mergeCells count="9">
    <mergeCell ref="A1:E1"/>
    <mergeCell ref="A3:C3"/>
    <mergeCell ref="A44:E44"/>
    <mergeCell ref="A45:E45"/>
    <mergeCell ref="A15:C15"/>
    <mergeCell ref="A43:E43"/>
    <mergeCell ref="A42:E42"/>
    <mergeCell ref="A41:E41"/>
    <mergeCell ref="A27:C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selection activeCell="C4" sqref="C4"/>
    </sheetView>
  </sheetViews>
  <sheetFormatPr baseColWidth="10" defaultColWidth="8.83203125" defaultRowHeight="15" x14ac:dyDescent="0.2"/>
  <cols>
    <col min="1" max="2" width="50" customWidth="1"/>
    <col min="3" max="3" width="12" customWidth="1"/>
    <col min="4" max="4" width="19" customWidth="1"/>
  </cols>
  <sheetData>
    <row r="1" spans="1:4" ht="19" x14ac:dyDescent="0.25">
      <c r="A1" s="10" t="s">
        <v>603</v>
      </c>
      <c r="B1" s="11"/>
      <c r="C1" s="11"/>
      <c r="D1" s="11"/>
    </row>
    <row r="2" spans="1:4" x14ac:dyDescent="0.2">
      <c r="A2" s="8"/>
      <c r="B2" s="8"/>
      <c r="C2" s="8"/>
      <c r="D2" s="8"/>
    </row>
    <row r="3" spans="1:4" x14ac:dyDescent="0.2">
      <c r="A3" s="9" t="s">
        <v>604</v>
      </c>
      <c r="B3" s="9" t="s">
        <v>605</v>
      </c>
      <c r="C3" s="9" t="s">
        <v>606</v>
      </c>
      <c r="D3" s="9" t="s">
        <v>607</v>
      </c>
    </row>
    <row r="4" spans="1:4" x14ac:dyDescent="0.2">
      <c r="A4" t="s">
        <v>7</v>
      </c>
      <c r="B4" t="s">
        <v>20</v>
      </c>
      <c r="C4">
        <v>19</v>
      </c>
    </row>
    <row r="5" spans="1:4" x14ac:dyDescent="0.2">
      <c r="A5" t="s">
        <v>7</v>
      </c>
      <c r="B5" t="s">
        <v>12</v>
      </c>
      <c r="C5">
        <v>13</v>
      </c>
    </row>
    <row r="6" spans="1:4" x14ac:dyDescent="0.2">
      <c r="A6" s="7" t="s">
        <v>20</v>
      </c>
      <c r="B6" s="7" t="s">
        <v>30</v>
      </c>
      <c r="C6" s="7">
        <v>12</v>
      </c>
      <c r="D6" s="7" t="s">
        <v>590</v>
      </c>
    </row>
    <row r="7" spans="1:4" x14ac:dyDescent="0.2">
      <c r="A7" t="s">
        <v>12</v>
      </c>
      <c r="B7" t="s">
        <v>20</v>
      </c>
      <c r="C7">
        <v>10</v>
      </c>
    </row>
    <row r="8" spans="1:4" x14ac:dyDescent="0.2">
      <c r="A8" s="7" t="s">
        <v>7</v>
      </c>
      <c r="B8" s="7" t="s">
        <v>30</v>
      </c>
      <c r="C8" s="7">
        <v>9</v>
      </c>
      <c r="D8" s="7" t="s">
        <v>590</v>
      </c>
    </row>
    <row r="9" spans="1:4" x14ac:dyDescent="0.2">
      <c r="A9" t="s">
        <v>7</v>
      </c>
      <c r="B9" t="s">
        <v>38</v>
      </c>
      <c r="C9">
        <v>8</v>
      </c>
    </row>
    <row r="10" spans="1:4" x14ac:dyDescent="0.2">
      <c r="A10" t="s">
        <v>7</v>
      </c>
      <c r="B10" t="s">
        <v>28</v>
      </c>
      <c r="C10">
        <v>7</v>
      </c>
    </row>
    <row r="11" spans="1:4" x14ac:dyDescent="0.2">
      <c r="A11" t="s">
        <v>50</v>
      </c>
      <c r="B11" t="s">
        <v>7</v>
      </c>
      <c r="C11">
        <v>7</v>
      </c>
    </row>
    <row r="12" spans="1:4" x14ac:dyDescent="0.2">
      <c r="A12" t="s">
        <v>35</v>
      </c>
      <c r="B12" t="s">
        <v>7</v>
      </c>
      <c r="C12">
        <v>6</v>
      </c>
    </row>
    <row r="13" spans="1:4" x14ac:dyDescent="0.2">
      <c r="A13" t="s">
        <v>20</v>
      </c>
      <c r="B13" t="s">
        <v>38</v>
      </c>
      <c r="C13">
        <v>6</v>
      </c>
    </row>
    <row r="14" spans="1:4" x14ac:dyDescent="0.2">
      <c r="A14" t="s">
        <v>35</v>
      </c>
      <c r="B14" t="s">
        <v>50</v>
      </c>
      <c r="C14">
        <v>6</v>
      </c>
    </row>
    <row r="15" spans="1:4" x14ac:dyDescent="0.2">
      <c r="A15" t="s">
        <v>7</v>
      </c>
      <c r="B15" t="s">
        <v>29</v>
      </c>
      <c r="C15">
        <v>6</v>
      </c>
    </row>
    <row r="16" spans="1:4" x14ac:dyDescent="0.2">
      <c r="A16" t="s">
        <v>7</v>
      </c>
      <c r="B16" t="s">
        <v>58</v>
      </c>
      <c r="C16">
        <v>6</v>
      </c>
    </row>
    <row r="17" spans="1:4" x14ac:dyDescent="0.2">
      <c r="A17" t="s">
        <v>20</v>
      </c>
      <c r="B17" t="s">
        <v>32</v>
      </c>
      <c r="C17">
        <v>6</v>
      </c>
    </row>
    <row r="18" spans="1:4" x14ac:dyDescent="0.2">
      <c r="A18" t="s">
        <v>7</v>
      </c>
      <c r="B18" t="s">
        <v>32</v>
      </c>
      <c r="C18">
        <v>5</v>
      </c>
    </row>
    <row r="19" spans="1:4" x14ac:dyDescent="0.2">
      <c r="A19" s="7" t="s">
        <v>35</v>
      </c>
      <c r="B19" s="7" t="s">
        <v>30</v>
      </c>
      <c r="C19" s="7">
        <v>5</v>
      </c>
      <c r="D19" s="7" t="s">
        <v>590</v>
      </c>
    </row>
    <row r="20" spans="1:4" x14ac:dyDescent="0.2">
      <c r="A20" s="7" t="s">
        <v>50</v>
      </c>
      <c r="B20" s="7" t="s">
        <v>30</v>
      </c>
      <c r="C20" s="7">
        <v>5</v>
      </c>
      <c r="D20" s="7" t="s">
        <v>590</v>
      </c>
    </row>
    <row r="21" spans="1:4" x14ac:dyDescent="0.2">
      <c r="A21" s="7" t="s">
        <v>38</v>
      </c>
      <c r="B21" s="7" t="s">
        <v>30</v>
      </c>
      <c r="C21" s="7">
        <v>5</v>
      </c>
      <c r="D21" s="7" t="s">
        <v>590</v>
      </c>
    </row>
    <row r="22" spans="1:4" x14ac:dyDescent="0.2">
      <c r="A22" t="s">
        <v>12</v>
      </c>
      <c r="B22" t="s">
        <v>58</v>
      </c>
      <c r="C22">
        <v>5</v>
      </c>
    </row>
    <row r="23" spans="1:4" x14ac:dyDescent="0.2">
      <c r="A23" t="s">
        <v>20</v>
      </c>
      <c r="B23" t="s">
        <v>17</v>
      </c>
      <c r="C23">
        <v>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Bank Rankings</vt:lpstr>
      <vt:lpstr>Key Banks Analysis</vt:lpstr>
      <vt:lpstr>Partnership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Hou</cp:lastModifiedBy>
  <dcterms:created xsi:type="dcterms:W3CDTF">2025-07-15T18:00:00Z</dcterms:created>
  <dcterms:modified xsi:type="dcterms:W3CDTF">2025-07-16T02:35:19Z</dcterms:modified>
</cp:coreProperties>
</file>